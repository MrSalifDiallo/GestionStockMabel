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E:\Cours_ISI\GestionStock\"/>
    </mc:Choice>
  </mc:AlternateContent>
  <xr:revisionPtr revIDLastSave="0" documentId="8_{4E1F3D50-4567-42D5-AF38-B04A75A86D04}" xr6:coauthVersionLast="47" xr6:coauthVersionMax="47" xr10:uidLastSave="{00000000-0000-0000-0000-000000000000}"/>
  <bookViews>
    <workbookView xWindow="-120" yWindow="-120" windowWidth="29040" windowHeight="15720" firstSheet="5" activeTab="8" xr2:uid="{312CD319-D164-4AA1-BC3C-BC54A273DADB}"/>
  </bookViews>
  <sheets>
    <sheet name="RECAPITULATIF" sheetId="7" state="hidden" r:id="rId1"/>
    <sheet name="Tableau de Bord" sheetId="14" r:id="rId2"/>
    <sheet name="VENTES" sheetId="1" r:id="rId3"/>
    <sheet name="DEPENSES" sheetId="5" r:id="rId4"/>
    <sheet name="DEPENSES FIXES" sheetId="13" state="hidden" r:id="rId5"/>
    <sheet name="CLIENTS" sheetId="2" r:id="rId6"/>
    <sheet name="ARTICLES" sheetId="3" r:id="rId7"/>
    <sheet name="CATEGORIE DEPENSES" sheetId="10" r:id="rId8"/>
    <sheet name="CATEGORIE PRODUITS" sheetId="6" r:id="rId9"/>
    <sheet name="Feuil1" sheetId="15" r:id="rId10"/>
    <sheet name="DETTES" sheetId="4" state="hidden" r:id="rId11"/>
  </sheets>
  <externalReferences>
    <externalReference r:id="rId12"/>
  </externalReferences>
  <definedNames>
    <definedName name="ChronologieNative_Date_de_facturation">#N/A</definedName>
    <definedName name="RechercheClients">[1]!ListeClients[Rechercher]</definedName>
    <definedName name="Segment_Article">#N/A</definedName>
    <definedName name="Segment_Catégorie">#N/A</definedName>
    <definedName name="Segment_Client">#N/A</definedName>
  </definedNames>
  <calcPr calcId="191029" concurrentCalc="0"/>
  <pivotCaches>
    <pivotCache cacheId="0" r:id="rId13"/>
    <pivotCache cacheId="1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4" l="1"/>
  <c r="M4" i="1"/>
  <c r="M5" i="1"/>
  <c r="M6" i="1"/>
  <c r="M7" i="1"/>
  <c r="M8" i="1"/>
  <c r="M9" i="1"/>
  <c r="M10" i="1"/>
  <c r="M11" i="1"/>
  <c r="M18" i="1"/>
  <c r="M19" i="1"/>
  <c r="M12" i="1"/>
  <c r="M13" i="1"/>
  <c r="M14" i="1"/>
  <c r="M15" i="1"/>
  <c r="M16" i="1"/>
  <c r="M17" i="1"/>
  <c r="I5" i="14"/>
  <c r="C5" i="14"/>
  <c r="G5" i="14"/>
  <c r="E5" i="14"/>
  <c r="E18" i="13"/>
  <c r="E16" i="13"/>
  <c r="E15" i="13"/>
  <c r="E17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B15" i="10"/>
  <c r="B10" i="10"/>
  <c r="B11" i="10"/>
  <c r="B6" i="10"/>
  <c r="E24" i="5"/>
  <c r="C24" i="5"/>
  <c r="B12" i="10"/>
  <c r="B13" i="10"/>
  <c r="B14" i="10"/>
  <c r="B16" i="10"/>
  <c r="B17" i="10"/>
  <c r="C18" i="10"/>
  <c r="B9" i="10"/>
  <c r="B8" i="10"/>
  <c r="B7" i="10"/>
  <c r="B5" i="10"/>
  <c r="B4" i="10"/>
  <c r="H18" i="1"/>
  <c r="J18" i="1"/>
  <c r="H16" i="1"/>
  <c r="J16" i="1"/>
  <c r="H17" i="1"/>
  <c r="J17" i="1"/>
  <c r="H15" i="1"/>
  <c r="J15" i="1"/>
  <c r="H14" i="1"/>
  <c r="J14" i="1"/>
  <c r="H5" i="1"/>
  <c r="J5" i="1"/>
  <c r="H6" i="1"/>
  <c r="J6" i="1"/>
  <c r="H7" i="1"/>
  <c r="L7" i="1"/>
  <c r="H8" i="1"/>
  <c r="J8" i="1"/>
  <c r="H9" i="1"/>
  <c r="L9" i="1"/>
  <c r="H10" i="1"/>
  <c r="J10" i="1"/>
  <c r="H11" i="1"/>
  <c r="L11" i="1"/>
  <c r="H12" i="1"/>
  <c r="L12" i="1"/>
  <c r="H13" i="1"/>
  <c r="J13" i="1"/>
  <c r="H4" i="1"/>
  <c r="L4" i="1"/>
  <c r="I19" i="1"/>
  <c r="C19" i="1"/>
  <c r="B18" i="2"/>
  <c r="B7" i="2"/>
  <c r="B8" i="2"/>
  <c r="B17" i="2"/>
  <c r="B16" i="2"/>
  <c r="B15" i="2"/>
  <c r="B14" i="2"/>
  <c r="B13" i="2"/>
  <c r="B12" i="2"/>
  <c r="B11" i="2"/>
  <c r="B10" i="2"/>
  <c r="B9" i="2"/>
  <c r="B6" i="2"/>
  <c r="C13" i="3"/>
  <c r="B9" i="3"/>
  <c r="B6" i="3"/>
  <c r="B11" i="3"/>
  <c r="B7" i="3"/>
  <c r="B5" i="3"/>
  <c r="B10" i="3"/>
  <c r="B12" i="3"/>
  <c r="C9" i="6"/>
  <c r="B6" i="6"/>
  <c r="B7" i="6"/>
  <c r="B5" i="6"/>
  <c r="B8" i="6"/>
  <c r="B4" i="6"/>
  <c r="B4" i="3"/>
  <c r="B8" i="3"/>
  <c r="C19" i="2"/>
  <c r="B5" i="2"/>
  <c r="B4" i="2"/>
  <c r="C2" i="14"/>
  <c r="K2" i="14"/>
  <c r="G2" i="14"/>
  <c r="E2" i="14"/>
  <c r="I2" i="14"/>
  <c r="A2" i="14"/>
  <c r="E19" i="13"/>
  <c r="L18" i="1"/>
  <c r="L16" i="1"/>
  <c r="L17" i="1"/>
  <c r="L13" i="1"/>
  <c r="L15" i="1"/>
  <c r="J4" i="1"/>
  <c r="L5" i="1"/>
  <c r="L14" i="1"/>
  <c r="J12" i="1"/>
  <c r="J11" i="1"/>
  <c r="L10" i="1"/>
  <c r="J9" i="1"/>
  <c r="L8" i="1"/>
  <c r="J7" i="1"/>
  <c r="L6" i="1"/>
  <c r="H19" i="1"/>
  <c r="K19" i="1"/>
  <c r="J19" i="1"/>
  <c r="L19" i="1"/>
</calcChain>
</file>

<file path=xl/sharedStrings.xml><?xml version="1.0" encoding="utf-8"?>
<sst xmlns="http://schemas.openxmlformats.org/spreadsheetml/2006/main" count="321" uniqueCount="154">
  <si>
    <t>Clients</t>
  </si>
  <si>
    <t>Rechercher</t>
  </si>
  <si>
    <t xml:space="preserve">Numéro </t>
  </si>
  <si>
    <t>Adresse</t>
  </si>
  <si>
    <t>Téléphone</t>
  </si>
  <si>
    <t>Totaux</t>
  </si>
  <si>
    <t>Nom</t>
  </si>
  <si>
    <t>Yoff</t>
  </si>
  <si>
    <t>Produits</t>
  </si>
  <si>
    <t>Prix Standard</t>
  </si>
  <si>
    <t>Stock</t>
  </si>
  <si>
    <t>Catégorie</t>
  </si>
  <si>
    <t>Catégories Produits</t>
  </si>
  <si>
    <t>Libellé</t>
  </si>
  <si>
    <t>Tenue Homme</t>
  </si>
  <si>
    <t>Tenue Femme</t>
  </si>
  <si>
    <t>Accessoires</t>
  </si>
  <si>
    <t>Tissus</t>
  </si>
  <si>
    <t>Chaussures</t>
  </si>
  <si>
    <t>Grand Boubou</t>
  </si>
  <si>
    <t>Anango</t>
  </si>
  <si>
    <t>Tunique</t>
  </si>
  <si>
    <t>Robe</t>
  </si>
  <si>
    <t>Taille Basse</t>
  </si>
  <si>
    <t>Chemise</t>
  </si>
  <si>
    <t>Deux pièces</t>
  </si>
  <si>
    <t>Trois pièces</t>
  </si>
  <si>
    <t>Client Ponctuel</t>
  </si>
  <si>
    <t>N° de facture</t>
  </si>
  <si>
    <t>Date de facturation</t>
  </si>
  <si>
    <t>Notes</t>
  </si>
  <si>
    <t>Ventes</t>
  </si>
  <si>
    <t>Client</t>
  </si>
  <si>
    <t>Article</t>
  </si>
  <si>
    <t>Qté</t>
  </si>
  <si>
    <t>Prix Unitaire</t>
  </si>
  <si>
    <t>Montant Total</t>
  </si>
  <si>
    <t>Frais Produit</t>
  </si>
  <si>
    <t>Bénéfice</t>
  </si>
  <si>
    <t>Total à payer</t>
  </si>
  <si>
    <t>Payé</t>
  </si>
  <si>
    <t>Restant</t>
  </si>
  <si>
    <t>Mesures</t>
  </si>
  <si>
    <t>Total général</t>
  </si>
  <si>
    <t>Articles</t>
  </si>
  <si>
    <t>Frais</t>
  </si>
  <si>
    <t>Gains</t>
  </si>
  <si>
    <t>Commandés</t>
  </si>
  <si>
    <t>Payés</t>
  </si>
  <si>
    <t>Due</t>
  </si>
  <si>
    <t>Couture</t>
  </si>
  <si>
    <t>000001</t>
  </si>
  <si>
    <t>Robe simple</t>
  </si>
  <si>
    <t>Deux pièces homme</t>
  </si>
  <si>
    <t>Deux pièces homme Daminé</t>
  </si>
  <si>
    <t>Ensemble beige foncé</t>
  </si>
  <si>
    <t>Robe dentelle Mauve</t>
  </si>
  <si>
    <t>Deux pièces gris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</si>
  <si>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</si>
  <si>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</si>
  <si>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</si>
  <si>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</si>
  <si>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</si>
  <si>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</si>
  <si>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</si>
  <si>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</si>
  <si>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</si>
  <si>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</si>
  <si>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</si>
  <si>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</si>
  <si>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</si>
  <si>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</si>
  <si>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</si>
  <si>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</si>
  <si>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</si>
  <si>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</si>
  <si>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</si>
  <si>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Catégories Dépenses</t>
  </si>
  <si>
    <t>Autres Salaires</t>
  </si>
  <si>
    <t>Communication</t>
  </si>
  <si>
    <t>Eau</t>
  </si>
  <si>
    <t>Electricité</t>
  </si>
  <si>
    <t>Informatique et Bureautique</t>
  </si>
  <si>
    <t>Repas</t>
  </si>
  <si>
    <t>Salaire Tailleurs</t>
  </si>
  <si>
    <t>Shooting</t>
  </si>
  <si>
    <t>Transport</t>
  </si>
  <si>
    <t>Wifi</t>
  </si>
  <si>
    <t>Dépenses</t>
  </si>
  <si>
    <t>N°</t>
  </si>
  <si>
    <t>Date</t>
  </si>
  <si>
    <t>Montant</t>
  </si>
  <si>
    <t>Divers</t>
  </si>
  <si>
    <t>Mercerie</t>
  </si>
  <si>
    <t>Livraison</t>
  </si>
  <si>
    <t>Tontine</t>
  </si>
  <si>
    <t>Dépense</t>
  </si>
  <si>
    <t>Total</t>
  </si>
  <si>
    <t>Fréquence</t>
  </si>
  <si>
    <t>Montant Mensuel</t>
  </si>
  <si>
    <t>Salaire Tailleur</t>
  </si>
  <si>
    <t>Mensuel</t>
  </si>
  <si>
    <t>Journalier</t>
  </si>
  <si>
    <t>Hebdomadaire</t>
  </si>
  <si>
    <t>Loyer</t>
  </si>
  <si>
    <t>Fournitures</t>
  </si>
  <si>
    <t>TOTAL</t>
  </si>
  <si>
    <t>Salaire Fa</t>
  </si>
  <si>
    <t>Nettoyage</t>
  </si>
  <si>
    <t>Sécurité</t>
  </si>
  <si>
    <t>Bénéfices</t>
  </si>
  <si>
    <t>Gains du Jour</t>
  </si>
  <si>
    <t>Ventes du jour</t>
  </si>
  <si>
    <t>Dépenses du jour</t>
  </si>
  <si>
    <t>Total Encaissé</t>
  </si>
  <si>
    <t>Dépenses Totales</t>
  </si>
  <si>
    <t>Ventes Totales</t>
  </si>
  <si>
    <t>Gains Total</t>
  </si>
  <si>
    <t>Encaissé</t>
  </si>
  <si>
    <t>Bénéfice perçu</t>
  </si>
  <si>
    <t>Gains perçus</t>
  </si>
  <si>
    <t>Total Gains perçus</t>
  </si>
  <si>
    <t>Ecart</t>
  </si>
  <si>
    <t>Client1</t>
  </si>
  <si>
    <t>Client2</t>
  </si>
  <si>
    <t>Client3</t>
  </si>
  <si>
    <t>Client4</t>
  </si>
  <si>
    <t>Client5</t>
  </si>
  <si>
    <t>Client6</t>
  </si>
  <si>
    <t>Client7</t>
  </si>
  <si>
    <t>Client8</t>
  </si>
  <si>
    <t>Client9</t>
  </si>
  <si>
    <t>Client10</t>
  </si>
  <si>
    <t>Client11</t>
  </si>
  <si>
    <t>Client12</t>
  </si>
  <si>
    <t>Client13</t>
  </si>
  <si>
    <t>Client14</t>
  </si>
  <si>
    <t>Depense 1</t>
  </si>
  <si>
    <t>Depense 2</t>
  </si>
  <si>
    <t>Depense 3</t>
  </si>
  <si>
    <t>Depense 4</t>
  </si>
  <si>
    <t>Depense 5</t>
  </si>
  <si>
    <t>Depense 6</t>
  </si>
  <si>
    <t>Depense 7</t>
  </si>
  <si>
    <t>Depense 8</t>
  </si>
  <si>
    <t>Depense 9</t>
  </si>
  <si>
    <t>Depense 10</t>
  </si>
  <si>
    <t>Depense 11</t>
  </si>
  <si>
    <t>Depense 12</t>
  </si>
  <si>
    <t>Depense 13</t>
  </si>
  <si>
    <t>Depense 14</t>
  </si>
  <si>
    <t>Depense 15</t>
  </si>
  <si>
    <t>Depense 16</t>
  </si>
  <si>
    <t>Depense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</si>
</sst>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0#&quot; &quot;##&quot; &quot;##&quot; &quot;##&quot; &quot;##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1"/>
      <scheme val="minor"/>
    </font>
    <font>
      <sz val="11"/>
      <color theme="2" tint="-0.749992370372631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scheme val="minor"/>
    </font>
    <font>
      <b/>
      <sz val="11"/>
      <color rgb="FF002060"/>
      <name val="Arial"/>
      <family val="2"/>
      <scheme val="minor"/>
    </font>
    <font>
      <sz val="11"/>
      <color rgb="FF00206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5"/>
      <color theme="9"/>
      <name val="Arial"/>
      <family val="2"/>
      <scheme val="minor"/>
    </font>
    <font>
      <b/>
      <sz val="11"/>
      <color theme="9" tint="-0.249977111117893"/>
      <name val="Arial"/>
      <family val="2"/>
      <scheme val="minor"/>
    </font>
    <font>
      <b/>
      <sz val="15"/>
      <color theme="9" tint="-0.24997711111789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8"/>
      </bottom>
      <diagonal/>
    </border>
    <border>
      <left/>
      <right/>
      <top/>
      <bottom style="thin">
        <color theme="9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2" applyNumberFormat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1" xfId="3" applyAlignment="1" applyProtection="1">
      <alignment vertical="center"/>
    </xf>
    <xf numFmtId="0" fontId="8" fillId="0" borderId="0" xfId="0" applyFont="1" applyAlignment="1">
      <alignment vertical="center"/>
    </xf>
    <xf numFmtId="0" fontId="3" fillId="0" borderId="0" xfId="4" applyFill="1" applyBorder="1" applyAlignment="1" applyProtection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9" fontId="7" fillId="0" borderId="0" xfId="6" applyNumberFormat="1" applyAlignment="1">
      <alignment vertical="center" wrapText="1"/>
    </xf>
    <xf numFmtId="41" fontId="0" fillId="0" borderId="0" xfId="1" applyFont="1" applyAlignment="1">
      <alignment vertical="center" wrapText="1"/>
    </xf>
    <xf numFmtId="1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2" applyNumberFormat="1" applyFont="1" applyFill="1" applyBorder="1" applyAlignment="1" applyProtection="1">
      <alignment vertical="center"/>
    </xf>
    <xf numFmtId="41" fontId="0" fillId="3" borderId="0" xfId="1" applyFont="1" applyFill="1" applyAlignment="1">
      <alignment vertical="center" wrapText="1"/>
    </xf>
    <xf numFmtId="0" fontId="0" fillId="0" borderId="0" xfId="0" applyAlignment="1">
      <alignment horizontal="right"/>
    </xf>
    <xf numFmtId="41" fontId="0" fillId="0" borderId="0" xfId="1" applyFont="1" applyFill="1" applyBorder="1" applyAlignment="1" applyProtection="1">
      <alignment vertical="center"/>
    </xf>
    <xf numFmtId="14" fontId="0" fillId="0" borderId="0" xfId="0" applyNumberFormat="1" applyAlignment="1">
      <alignment horizontal="right" vertical="center"/>
    </xf>
    <xf numFmtId="41" fontId="0" fillId="0" borderId="0" xfId="1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41" fontId="5" fillId="4" borderId="0" xfId="1" applyFont="1" applyFill="1" applyBorder="1" applyAlignment="1">
      <alignment horizontal="center" vertical="center" wrapText="1"/>
    </xf>
    <xf numFmtId="41" fontId="5" fillId="4" borderId="0" xfId="1" applyFont="1" applyFill="1" applyBorder="1" applyAlignment="1">
      <alignment horizontal="center" vertical="center"/>
    </xf>
    <xf numFmtId="41" fontId="5" fillId="4" borderId="0" xfId="5" applyNumberFormat="1" applyFont="1" applyFill="1" applyBorder="1" applyAlignment="1">
      <alignment vertical="center"/>
    </xf>
    <xf numFmtId="0" fontId="0" fillId="0" borderId="0" xfId="0" pivotButton="1" applyAlignment="1">
      <alignment horizontal="center"/>
    </xf>
    <xf numFmtId="14" fontId="0" fillId="0" borderId="0" xfId="0" applyNumberFormat="1" applyAlignment="1">
      <alignment horizontal="center"/>
    </xf>
    <xf numFmtId="41" fontId="0" fillId="0" borderId="0" xfId="0" applyNumberFormat="1" applyAlignment="1">
      <alignment horizontal="center"/>
    </xf>
    <xf numFmtId="0" fontId="5" fillId="4" borderId="0" xfId="5" applyFont="1" applyFill="1" applyBorder="1" applyAlignment="1">
      <alignment horizontal="right" vertical="center"/>
    </xf>
    <xf numFmtId="0" fontId="12" fillId="5" borderId="0" xfId="5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2" fillId="5" borderId="0" xfId="5" applyFont="1" applyFill="1" applyBorder="1" applyAlignment="1">
      <alignment horizontal="right" vertical="center"/>
    </xf>
    <xf numFmtId="0" fontId="16" fillId="0" borderId="0" xfId="4" applyFont="1" applyFill="1" applyBorder="1" applyAlignment="1" applyProtection="1">
      <alignment horizontal="left" vertical="center"/>
    </xf>
    <xf numFmtId="0" fontId="17" fillId="0" borderId="3" xfId="3" applyFont="1" applyBorder="1" applyAlignment="1" applyProtection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 wrapText="1"/>
    </xf>
    <xf numFmtId="41" fontId="0" fillId="0" borderId="0" xfId="0" applyNumberFormat="1" applyAlignment="1">
      <alignment vertical="center" wrapText="1"/>
    </xf>
    <xf numFmtId="0" fontId="17" fillId="0" borderId="4" xfId="3" applyFont="1" applyBorder="1" applyAlignment="1" applyProtection="1">
      <alignment vertical="center"/>
    </xf>
    <xf numFmtId="0" fontId="5" fillId="0" borderId="0" xfId="4" applyFont="1" applyFill="1" applyBorder="1" applyAlignment="1" applyProtection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15" fillId="0" borderId="4" xfId="3" applyFont="1" applyBorder="1" applyAlignment="1" applyProtection="1">
      <alignment vertical="center"/>
    </xf>
    <xf numFmtId="0" fontId="14" fillId="6" borderId="0" xfId="0" applyFont="1" applyFill="1" applyAlignment="1">
      <alignment horizontal="right" vertical="center"/>
    </xf>
    <xf numFmtId="41" fontId="14" fillId="6" borderId="0" xfId="0" applyNumberFormat="1" applyFont="1" applyFill="1" applyAlignment="1">
      <alignment horizontal="right" vertical="center"/>
    </xf>
    <xf numFmtId="0" fontId="5" fillId="6" borderId="0" xfId="5" applyFont="1" applyFill="1" applyBorder="1" applyAlignment="1">
      <alignment horizontal="right" vertical="center"/>
    </xf>
    <xf numFmtId="41" fontId="5" fillId="6" borderId="0" xfId="1" applyFont="1" applyFill="1" applyBorder="1" applyAlignment="1">
      <alignment horizontal="center" vertical="center"/>
    </xf>
    <xf numFmtId="0" fontId="12" fillId="7" borderId="0" xfId="5" applyFont="1" applyFill="1" applyBorder="1" applyAlignment="1">
      <alignment horizontal="right" vertical="center" wrapText="1"/>
    </xf>
    <xf numFmtId="0" fontId="12" fillId="7" borderId="0" xfId="5" applyFont="1" applyFill="1" applyBorder="1" applyAlignment="1">
      <alignment horizontal="right" vertical="center"/>
    </xf>
    <xf numFmtId="0" fontId="6" fillId="0" borderId="0" xfId="0" applyFont="1"/>
  </cellXfs>
  <cellStyles count="7">
    <cellStyle name="Calculation" xfId="5" builtinId="22"/>
    <cellStyle name="Comma [0]" xfId="1" builtinId="6"/>
    <cellStyle name="Heading 1" xfId="3" builtinId="16"/>
    <cellStyle name="Heading 4" xfId="4" builtinId="19"/>
    <cellStyle name="Hyperlink" xfId="6" builtinId="8"/>
    <cellStyle name="Normal" xfId="0" builtinId="0"/>
    <cellStyle name="Percent" xfId="2" builtinId="5"/>
  </cellStyles>
  <dxfs count="13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numFmt numFmtId="164" formatCode="0#&quot; &quot;##&quot; &quot;##&quot; &quot;##&quot; &quot;##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numFmt numFmtId="164" formatCode="0#&quot; &quot;##&quot; &quot;##&quot; &quot;##&quot; &quot;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3" formatCode="_-* #,##0_-;\-* #,##0_-;_-* &quot;-&quot;_-;_-@_-"/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theme="9" tint="-0.249977111117893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fill>
        <patternFill patternType="solid">
          <fgColor indexed="64"/>
          <bgColor theme="2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fill>
        <patternFill patternType="solid">
          <fgColor indexed="64"/>
          <bgColor theme="2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3" formatCode="_-* #,##0_-;\-* #,##0_-;_-* &quot;-&quot;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0" formatCode="@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theme="9" tint="-0.249977111117893"/>
        <name val="Arial"/>
        <family val="2"/>
        <scheme val="minor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perso" pivot="0" table="0" count="10" xr9:uid="{2DCAB825-1E30-4392-9159-EB45952E0EFB}">
      <tableStyleElement type="wholeTable" dxfId="137"/>
      <tableStyleElement type="headerRow" dxfId="136"/>
    </tableStyle>
    <tableStyle name="Tableau de factures de vente" pivot="0" count="7" xr9:uid="{DAB5FD6A-4BDD-483D-A237-9E117C9A8CD7}">
      <tableStyleElement type="wholeTable" dxfId="135"/>
      <tableStyleElement type="headerRow" dxfId="134"/>
      <tableStyleElement type="totalRow" dxfId="133"/>
      <tableStyleElement type="firstColumn" dxfId="132"/>
      <tableStyleElement type="lastColumn" dxfId="131"/>
      <tableStyleElement type="firstRowStripe" dxfId="130"/>
      <tableStyleElement type="firstColumnStripe" dxfId="129"/>
    </tableStyle>
    <tableStyle name="Tableau de factures de vente 2" pivot="0" count="7" xr9:uid="{051B64B5-8449-438A-8364-2DCF68F786D6}">
      <tableStyleElement type="wholeTable" dxfId="128"/>
      <tableStyleElement type="headerRow" dxfId="127"/>
      <tableStyleElement type="totalRow" dxfId="126"/>
      <tableStyleElement type="firstColumn" dxfId="125"/>
      <tableStyleElement type="lastColumn" dxfId="124"/>
      <tableStyleElement type="firstRowStripe" dxfId="123"/>
      <tableStyleElement type="firstColumnStripe" dxfId="122"/>
    </tableStyle>
    <tableStyle name="TimeSlicerStyleDark1 2" pivot="0" table="0" count="9" xr9:uid="{7287612C-69B8-4A5E-BF47-E2D5B8DCCD1A}">
      <tableStyleElement type="wholeTable" dxfId="121"/>
      <tableStyleElement type="headerRow" dxfId="12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perso">
        <x14:slicerStyle name="pers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Dark1 2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[Copie de SUIVI VENTES ET DEPENSES.xlsx]RECAPITULATIF!Tableau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Créances par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RECAPITULATIF!$B$4</c:f>
              <c:strCache>
                <c:ptCount val="1"/>
                <c:pt idx="0">
                  <c:v>Commandés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RECAPITULATIF!$A$5:$A$16</c:f>
              <c:strCache>
                <c:ptCount val="11"/>
                <c:pt idx="0">
                  <c:v>Client Ponctuel</c:v>
                </c:pt>
                <c:pt idx="1">
                  <c:v>Client1</c:v>
                </c:pt>
                <c:pt idx="2">
                  <c:v>Client4</c:v>
                </c:pt>
                <c:pt idx="3">
                  <c:v>Client5</c:v>
                </c:pt>
                <c:pt idx="4">
                  <c:v>Client10</c:v>
                </c:pt>
                <c:pt idx="5">
                  <c:v>Client9</c:v>
                </c:pt>
                <c:pt idx="6">
                  <c:v>Client12</c:v>
                </c:pt>
                <c:pt idx="7">
                  <c:v>Client14</c:v>
                </c:pt>
                <c:pt idx="8">
                  <c:v>Client3</c:v>
                </c:pt>
                <c:pt idx="9">
                  <c:v>Client7</c:v>
                </c:pt>
                <c:pt idx="10">
                  <c:v>Client13</c:v>
                </c:pt>
              </c:strCache>
            </c:strRef>
          </c:cat>
          <c:val>
            <c:numRef>
              <c:f>RECAPITULATIF!$B$5:$B$16</c:f>
              <c:numCache>
                <c:formatCode>_(* #,##0_);_(* \(#,##0\);_(* "-"_);_(@_)</c:formatCode>
                <c:ptCount val="11"/>
                <c:pt idx="0">
                  <c:v>35000</c:v>
                </c:pt>
                <c:pt idx="1">
                  <c:v>55000</c:v>
                </c:pt>
                <c:pt idx="2">
                  <c:v>80000</c:v>
                </c:pt>
                <c:pt idx="3">
                  <c:v>103000</c:v>
                </c:pt>
                <c:pt idx="4">
                  <c:v>140000</c:v>
                </c:pt>
                <c:pt idx="5">
                  <c:v>24000</c:v>
                </c:pt>
                <c:pt idx="6">
                  <c:v>80000</c:v>
                </c:pt>
                <c:pt idx="7">
                  <c:v>45000</c:v>
                </c:pt>
                <c:pt idx="8">
                  <c:v>45000</c:v>
                </c:pt>
                <c:pt idx="9">
                  <c:v>17000</c:v>
                </c:pt>
                <c:pt idx="10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B-4681-9905-C3EE4C81F4F7}"/>
            </c:ext>
          </c:extLst>
        </c:ser>
        <c:ser>
          <c:idx val="1"/>
          <c:order val="1"/>
          <c:tx>
            <c:strRef>
              <c:f>RECAPITULATIF!$C$4</c:f>
              <c:strCache>
                <c:ptCount val="1"/>
                <c:pt idx="0">
                  <c:v>Payés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RECAPITULATIF!$A$5:$A$16</c:f>
              <c:strCache>
                <c:ptCount val="11"/>
                <c:pt idx="0">
                  <c:v>Client Ponctuel</c:v>
                </c:pt>
                <c:pt idx="1">
                  <c:v>Client1</c:v>
                </c:pt>
                <c:pt idx="2">
                  <c:v>Client4</c:v>
                </c:pt>
                <c:pt idx="3">
                  <c:v>Client5</c:v>
                </c:pt>
                <c:pt idx="4">
                  <c:v>Client10</c:v>
                </c:pt>
                <c:pt idx="5">
                  <c:v>Client9</c:v>
                </c:pt>
                <c:pt idx="6">
                  <c:v>Client12</c:v>
                </c:pt>
                <c:pt idx="7">
                  <c:v>Client14</c:v>
                </c:pt>
                <c:pt idx="8">
                  <c:v>Client3</c:v>
                </c:pt>
                <c:pt idx="9">
                  <c:v>Client7</c:v>
                </c:pt>
                <c:pt idx="10">
                  <c:v>Client13</c:v>
                </c:pt>
              </c:strCache>
            </c:strRef>
          </c:cat>
          <c:val>
            <c:numRef>
              <c:f>RECAPITULATIF!$C$5:$C$16</c:f>
              <c:numCache>
                <c:formatCode>_(* #,##0_);_(* \(#,##0\);_(* "-"_);_(@_)</c:formatCode>
                <c:ptCount val="11"/>
                <c:pt idx="0">
                  <c:v>20000</c:v>
                </c:pt>
                <c:pt idx="1">
                  <c:v>55000</c:v>
                </c:pt>
                <c:pt idx="2">
                  <c:v>45000</c:v>
                </c:pt>
                <c:pt idx="3">
                  <c:v>103000</c:v>
                </c:pt>
                <c:pt idx="4">
                  <c:v>80000</c:v>
                </c:pt>
                <c:pt idx="5">
                  <c:v>10000</c:v>
                </c:pt>
                <c:pt idx="6">
                  <c:v>80000</c:v>
                </c:pt>
                <c:pt idx="8">
                  <c:v>25000</c:v>
                </c:pt>
                <c:pt idx="9">
                  <c:v>17000</c:v>
                </c:pt>
                <c:pt idx="1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B-4681-9905-C3EE4C81F4F7}"/>
            </c:ext>
          </c:extLst>
        </c:ser>
        <c:ser>
          <c:idx val="2"/>
          <c:order val="2"/>
          <c:tx>
            <c:strRef>
              <c:f>RECAPITULATIF!$D$4</c:f>
              <c:strCache>
                <c:ptCount val="1"/>
                <c:pt idx="0">
                  <c:v>Due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RECAPITULATIF!$A$5:$A$16</c:f>
              <c:strCache>
                <c:ptCount val="11"/>
                <c:pt idx="0">
                  <c:v>Client Ponctuel</c:v>
                </c:pt>
                <c:pt idx="1">
                  <c:v>Client1</c:v>
                </c:pt>
                <c:pt idx="2">
                  <c:v>Client4</c:v>
                </c:pt>
                <c:pt idx="3">
                  <c:v>Client5</c:v>
                </c:pt>
                <c:pt idx="4">
                  <c:v>Client10</c:v>
                </c:pt>
                <c:pt idx="5">
                  <c:v>Client9</c:v>
                </c:pt>
                <c:pt idx="6">
                  <c:v>Client12</c:v>
                </c:pt>
                <c:pt idx="7">
                  <c:v>Client14</c:v>
                </c:pt>
                <c:pt idx="8">
                  <c:v>Client3</c:v>
                </c:pt>
                <c:pt idx="9">
                  <c:v>Client7</c:v>
                </c:pt>
                <c:pt idx="10">
                  <c:v>Client13</c:v>
                </c:pt>
              </c:strCache>
            </c:strRef>
          </c:cat>
          <c:val>
            <c:numRef>
              <c:f>RECAPITULATIF!$D$5:$D$16</c:f>
              <c:numCache>
                <c:formatCode>_(* #,##0_);_(* \(#,##0\);_(* "-"_);_(@_)</c:formatCode>
                <c:ptCount val="11"/>
                <c:pt idx="0">
                  <c:v>15000</c:v>
                </c:pt>
                <c:pt idx="1">
                  <c:v>0</c:v>
                </c:pt>
                <c:pt idx="2">
                  <c:v>35000</c:v>
                </c:pt>
                <c:pt idx="3">
                  <c:v>0</c:v>
                </c:pt>
                <c:pt idx="4">
                  <c:v>60000</c:v>
                </c:pt>
                <c:pt idx="5">
                  <c:v>14000</c:v>
                </c:pt>
                <c:pt idx="6">
                  <c:v>0</c:v>
                </c:pt>
                <c:pt idx="7">
                  <c:v>45000</c:v>
                </c:pt>
                <c:pt idx="8">
                  <c:v>20000</c:v>
                </c:pt>
                <c:pt idx="9">
                  <c:v>0</c:v>
                </c:pt>
                <c:pt idx="10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B-4681-9905-C3EE4C81F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6506175"/>
        <c:axId val="376506591"/>
      </c:barChart>
      <c:catAx>
        <c:axId val="3765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506591"/>
        <c:crosses val="autoZero"/>
        <c:auto val="1"/>
        <c:lblAlgn val="ctr"/>
        <c:lblOffset val="100"/>
        <c:noMultiLvlLbl val="0"/>
      </c:catAx>
      <c:valAx>
        <c:axId val="37650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5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[Copie de SUIVI VENTES ET DEPENSES.xlsx]RECAPITULATIF!Tableau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Suivi des gains par article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RECAPITULATIF!$J$4</c:f>
              <c:strCache>
                <c:ptCount val="1"/>
                <c:pt idx="0">
                  <c:v>Frais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RECAPITULATIF!$I$5:$I$11</c:f>
              <c:strCache>
                <c:ptCount val="6"/>
                <c:pt idx="0">
                  <c:v>Chemise</c:v>
                </c:pt>
                <c:pt idx="1">
                  <c:v>Robe</c:v>
                </c:pt>
                <c:pt idx="2">
                  <c:v>Deux pièces</c:v>
                </c:pt>
                <c:pt idx="3">
                  <c:v>Couture</c:v>
                </c:pt>
                <c:pt idx="4">
                  <c:v>Trois pièces</c:v>
                </c:pt>
                <c:pt idx="5">
                  <c:v>Tunique</c:v>
                </c:pt>
              </c:strCache>
            </c:strRef>
          </c:cat>
          <c:val>
            <c:numRef>
              <c:f>RECAPITULATIF!$J$5:$J$11</c:f>
              <c:numCache>
                <c:formatCode>_(* #,##0_);_(* \(#,##0\);_(* "-"_);_(@_)</c:formatCode>
                <c:ptCount val="6"/>
                <c:pt idx="0">
                  <c:v>7000</c:v>
                </c:pt>
                <c:pt idx="1">
                  <c:v>90500</c:v>
                </c:pt>
                <c:pt idx="2">
                  <c:v>116000</c:v>
                </c:pt>
                <c:pt idx="3">
                  <c:v>161000</c:v>
                </c:pt>
                <c:pt idx="4">
                  <c:v>22000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5-46CC-8240-22A42E48CC4A}"/>
            </c:ext>
          </c:extLst>
        </c:ser>
        <c:ser>
          <c:idx val="1"/>
          <c:order val="1"/>
          <c:tx>
            <c:strRef>
              <c:f>RECAPITULATIF!$K$4</c:f>
              <c:strCache>
                <c:ptCount val="1"/>
                <c:pt idx="0">
                  <c:v>Gains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RECAPITULATIF!$I$5:$I$11</c:f>
              <c:strCache>
                <c:ptCount val="6"/>
                <c:pt idx="0">
                  <c:v>Chemise</c:v>
                </c:pt>
                <c:pt idx="1">
                  <c:v>Robe</c:v>
                </c:pt>
                <c:pt idx="2">
                  <c:v>Deux pièces</c:v>
                </c:pt>
                <c:pt idx="3">
                  <c:v>Couture</c:v>
                </c:pt>
                <c:pt idx="4">
                  <c:v>Trois pièces</c:v>
                </c:pt>
                <c:pt idx="5">
                  <c:v>Tunique</c:v>
                </c:pt>
              </c:strCache>
            </c:strRef>
          </c:cat>
          <c:val>
            <c:numRef>
              <c:f>RECAPITULATIF!$K$5:$K$11</c:f>
              <c:numCache>
                <c:formatCode>_(* #,##0_);_(* \(#,##0\);_(* "-"_);_(@_)</c:formatCode>
                <c:ptCount val="6"/>
                <c:pt idx="0">
                  <c:v>13000</c:v>
                </c:pt>
                <c:pt idx="1">
                  <c:v>97500</c:v>
                </c:pt>
                <c:pt idx="2">
                  <c:v>119000</c:v>
                </c:pt>
                <c:pt idx="3">
                  <c:v>12000</c:v>
                </c:pt>
                <c:pt idx="4">
                  <c:v>38000</c:v>
                </c:pt>
                <c:pt idx="5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5-46CC-8240-22A42E48C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4283695"/>
        <c:axId val="624286191"/>
      </c:barChart>
      <c:catAx>
        <c:axId val="62428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286191"/>
        <c:crosses val="autoZero"/>
        <c:auto val="1"/>
        <c:lblAlgn val="ctr"/>
        <c:lblOffset val="100"/>
        <c:noMultiLvlLbl val="0"/>
      </c:catAx>
      <c:valAx>
        <c:axId val="62428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28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SUIVI VENTES ET DEPENSES.xlsx]RECAPITULATIF!Tableau croisé dynamique7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Dépenses par catégories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RECAPITULATIF!$E$40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504-4E4B-AE9B-13F8D49D5E5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04-4E4B-AE9B-13F8D49D5E5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504-4E4B-AE9B-13F8D49D5E5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04-4E4B-AE9B-13F8D49D5E5C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504-4E4B-AE9B-13F8D49D5E5C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04-4E4B-AE9B-13F8D49D5E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RECAPITULATIF!$D$41:$D$47</c:f>
              <c:strCache>
                <c:ptCount val="6"/>
                <c:pt idx="0">
                  <c:v>Divers</c:v>
                </c:pt>
                <c:pt idx="1">
                  <c:v>Electricité</c:v>
                </c:pt>
                <c:pt idx="2">
                  <c:v>Livraison</c:v>
                </c:pt>
                <c:pt idx="3">
                  <c:v>Mercerie</c:v>
                </c:pt>
                <c:pt idx="4">
                  <c:v>Tontine</c:v>
                </c:pt>
                <c:pt idx="5">
                  <c:v>Transport</c:v>
                </c:pt>
              </c:strCache>
            </c:strRef>
          </c:cat>
          <c:val>
            <c:numRef>
              <c:f>RECAPITULATIF!$E$41:$E$47</c:f>
              <c:numCache>
                <c:formatCode>_(* #,##0_);_(* \(#,##0\);_(* "-"_);_(@_)</c:formatCode>
                <c:ptCount val="6"/>
                <c:pt idx="0">
                  <c:v>28000</c:v>
                </c:pt>
                <c:pt idx="1">
                  <c:v>20000</c:v>
                </c:pt>
                <c:pt idx="2">
                  <c:v>5000</c:v>
                </c:pt>
                <c:pt idx="3">
                  <c:v>45450</c:v>
                </c:pt>
                <c:pt idx="4">
                  <c:v>120000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4-4E4B-AE9B-13F8D49D5E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SUIVI VENTES ET DEPENSES.xlsx]RECAPITULATIF!Tableau croisé dynamique8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Evolution des 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RECAPITULATIF!$G$57</c:f>
              <c:strCache>
                <c:ptCount val="1"/>
                <c:pt idx="0">
                  <c:v>Ventes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RECAPITULATIF!$F$58:$F$69</c:f>
              <c:strCache>
                <c:ptCount val="11"/>
                <c:pt idx="0">
                  <c:v>19/04/2024</c:v>
                </c:pt>
                <c:pt idx="1">
                  <c:v>20/04/2024</c:v>
                </c:pt>
                <c:pt idx="2">
                  <c:v>21/04/2024</c:v>
                </c:pt>
                <c:pt idx="3">
                  <c:v>22/01/2025</c:v>
                </c:pt>
                <c:pt idx="4">
                  <c:v>23/01/2025</c:v>
                </c:pt>
                <c:pt idx="5">
                  <c:v>24/02/2025</c:v>
                </c:pt>
                <c:pt idx="6">
                  <c:v>25/02/2025</c:v>
                </c:pt>
                <c:pt idx="7">
                  <c:v>26/02/2025</c:v>
                </c:pt>
                <c:pt idx="8">
                  <c:v>03/03/2025</c:v>
                </c:pt>
                <c:pt idx="9">
                  <c:v>02/03/2025</c:v>
                </c:pt>
                <c:pt idx="10">
                  <c:v>29/01/2025</c:v>
                </c:pt>
              </c:strCache>
            </c:strRef>
          </c:cat>
          <c:val>
            <c:numRef>
              <c:f>RECAPITULATIF!$G$58:$G$69</c:f>
              <c:numCache>
                <c:formatCode>_(* #,##0_);_(* \(#,##0\);_(* "-"_);_(@_)</c:formatCode>
                <c:ptCount val="11"/>
                <c:pt idx="0">
                  <c:v>80000</c:v>
                </c:pt>
                <c:pt idx="1">
                  <c:v>209000</c:v>
                </c:pt>
                <c:pt idx="2">
                  <c:v>60000</c:v>
                </c:pt>
                <c:pt idx="3">
                  <c:v>35000</c:v>
                </c:pt>
                <c:pt idx="4">
                  <c:v>80000</c:v>
                </c:pt>
                <c:pt idx="5">
                  <c:v>35000</c:v>
                </c:pt>
                <c:pt idx="6">
                  <c:v>18000</c:v>
                </c:pt>
                <c:pt idx="7">
                  <c:v>45000</c:v>
                </c:pt>
                <c:pt idx="8">
                  <c:v>45000</c:v>
                </c:pt>
                <c:pt idx="9">
                  <c:v>17000</c:v>
                </c:pt>
                <c:pt idx="10">
                  <c:v>132000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2-454C-AA14-C60DA1634898}"/>
            </c:ext>
          </c:extLst>
        </c:ser>
        <c:ser>
          <c:idx val="1"/>
          <c:order val="1"/>
          <c:tx>
            <c:strRef>
              <c:f>RECAPITULATIF!$H$57</c:f>
              <c:strCache>
                <c:ptCount val="1"/>
                <c:pt idx="0">
                  <c:v>Bénéfices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RECAPITULATIF!$F$58:$F$69</c:f>
              <c:strCache>
                <c:ptCount val="11"/>
                <c:pt idx="0">
                  <c:v>19/04/2024</c:v>
                </c:pt>
                <c:pt idx="1">
                  <c:v>20/04/2024</c:v>
                </c:pt>
                <c:pt idx="2">
                  <c:v>21/04/2024</c:v>
                </c:pt>
                <c:pt idx="3">
                  <c:v>22/01/2025</c:v>
                </c:pt>
                <c:pt idx="4">
                  <c:v>23/01/2025</c:v>
                </c:pt>
                <c:pt idx="5">
                  <c:v>24/02/2025</c:v>
                </c:pt>
                <c:pt idx="6">
                  <c:v>25/02/2025</c:v>
                </c:pt>
                <c:pt idx="7">
                  <c:v>26/02/2025</c:v>
                </c:pt>
                <c:pt idx="8">
                  <c:v>03/03/2025</c:v>
                </c:pt>
                <c:pt idx="9">
                  <c:v>02/03/2025</c:v>
                </c:pt>
                <c:pt idx="10">
                  <c:v>29/01/2025</c:v>
                </c:pt>
              </c:strCache>
            </c:strRef>
          </c:cat>
          <c:val>
            <c:numRef>
              <c:f>RECAPITULATIF!$H$58:$H$69</c:f>
              <c:numCache>
                <c:formatCode>_(* #,##0_);_(* \(#,##0\);_(* "-"_);_(@_)</c:formatCode>
                <c:ptCount val="11"/>
                <c:pt idx="0">
                  <c:v>37000</c:v>
                </c:pt>
                <c:pt idx="1">
                  <c:v>98000</c:v>
                </c:pt>
                <c:pt idx="2">
                  <c:v>38000</c:v>
                </c:pt>
                <c:pt idx="3">
                  <c:v>22000</c:v>
                </c:pt>
                <c:pt idx="4">
                  <c:v>55000</c:v>
                </c:pt>
                <c:pt idx="5">
                  <c:v>22000</c:v>
                </c:pt>
                <c:pt idx="6">
                  <c:v>13000</c:v>
                </c:pt>
                <c:pt idx="7">
                  <c:v>23500</c:v>
                </c:pt>
                <c:pt idx="8">
                  <c:v>24000</c:v>
                </c:pt>
                <c:pt idx="9">
                  <c:v>2000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2-454C-AA14-C60DA1634898}"/>
            </c:ext>
          </c:extLst>
        </c:ser>
        <c:ser>
          <c:idx val="2"/>
          <c:order val="2"/>
          <c:tx>
            <c:strRef>
              <c:f>RECAPITULATIF!$I$57</c:f>
              <c:strCache>
                <c:ptCount val="1"/>
                <c:pt idx="0">
                  <c:v>Gains perçus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RECAPITULATIF!$F$58:$F$69</c:f>
              <c:strCache>
                <c:ptCount val="11"/>
                <c:pt idx="0">
                  <c:v>19/04/2024</c:v>
                </c:pt>
                <c:pt idx="1">
                  <c:v>20/04/2024</c:v>
                </c:pt>
                <c:pt idx="2">
                  <c:v>21/04/2024</c:v>
                </c:pt>
                <c:pt idx="3">
                  <c:v>22/01/2025</c:v>
                </c:pt>
                <c:pt idx="4">
                  <c:v>23/01/2025</c:v>
                </c:pt>
                <c:pt idx="5">
                  <c:v>24/02/2025</c:v>
                </c:pt>
                <c:pt idx="6">
                  <c:v>25/02/2025</c:v>
                </c:pt>
                <c:pt idx="7">
                  <c:v>26/02/2025</c:v>
                </c:pt>
                <c:pt idx="8">
                  <c:v>03/03/2025</c:v>
                </c:pt>
                <c:pt idx="9">
                  <c:v>02/03/2025</c:v>
                </c:pt>
                <c:pt idx="10">
                  <c:v>29/01/2025</c:v>
                </c:pt>
              </c:strCache>
            </c:strRef>
          </c:cat>
          <c:val>
            <c:numRef>
              <c:f>RECAPITULATIF!$I$58:$I$69</c:f>
              <c:numCache>
                <c:formatCode>_(* #,##0_);_(* \(#,##0\);_(* "-"_);_(@_)</c:formatCode>
                <c:ptCount val="11"/>
                <c:pt idx="0">
                  <c:v>37000</c:v>
                </c:pt>
                <c:pt idx="1">
                  <c:v>84000</c:v>
                </c:pt>
                <c:pt idx="2">
                  <c:v>-22000</c:v>
                </c:pt>
                <c:pt idx="3">
                  <c:v>-13000</c:v>
                </c:pt>
                <c:pt idx="4">
                  <c:v>55000</c:v>
                </c:pt>
                <c:pt idx="5">
                  <c:v>7000</c:v>
                </c:pt>
                <c:pt idx="6">
                  <c:v>13000</c:v>
                </c:pt>
                <c:pt idx="7">
                  <c:v>-21500</c:v>
                </c:pt>
                <c:pt idx="8">
                  <c:v>4000</c:v>
                </c:pt>
                <c:pt idx="9">
                  <c:v>2000</c:v>
                </c:pt>
                <c:pt idx="10">
                  <c:v>-82000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E2-454C-AA14-C60DA163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935071"/>
        <c:axId val="388933407"/>
      </c:lineChart>
      <c:catAx>
        <c:axId val="3889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933407"/>
        <c:crosses val="autoZero"/>
        <c:auto val="1"/>
        <c:lblAlgn val="ctr"/>
        <c:lblOffset val="100"/>
        <c:noMultiLvlLbl val="0"/>
      </c:catAx>
      <c:valAx>
        <c:axId val="3889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9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SUIVI VENTES ET DEPENSES.xlsx]RECAPITULATIF!Tableau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900"/>
              <a:t>SOMMES DUES PAR CLIENT</a:t>
            </a:r>
          </a:p>
        </c:rich>
      </c:tx>
      <c:layout>
        <c:manualLayout>
          <c:xMode val="edge"/>
          <c:yMode val="edge"/>
          <c:x val="0.41276840253529345"/>
          <c:y val="4.7145901208919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RECAPITULATIF!$B$4</c:f>
              <c:strCache>
                <c:ptCount val="1"/>
                <c:pt idx="0">
                  <c:v>Commandés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RECAPITULATIF!$A$5:$A$16</c:f>
              <c:strCache>
                <c:ptCount val="11"/>
                <c:pt idx="0">
                  <c:v>Client Ponctuel</c:v>
                </c:pt>
                <c:pt idx="1">
                  <c:v>Client1</c:v>
                </c:pt>
                <c:pt idx="2">
                  <c:v>Client4</c:v>
                </c:pt>
                <c:pt idx="3">
                  <c:v>Client5</c:v>
                </c:pt>
                <c:pt idx="4">
                  <c:v>Client10</c:v>
                </c:pt>
                <c:pt idx="5">
                  <c:v>Client9</c:v>
                </c:pt>
                <c:pt idx="6">
                  <c:v>Client12</c:v>
                </c:pt>
                <c:pt idx="7">
                  <c:v>Client14</c:v>
                </c:pt>
                <c:pt idx="8">
                  <c:v>Client3</c:v>
                </c:pt>
                <c:pt idx="9">
                  <c:v>Client7</c:v>
                </c:pt>
                <c:pt idx="10">
                  <c:v>Client13</c:v>
                </c:pt>
              </c:strCache>
            </c:strRef>
          </c:cat>
          <c:val>
            <c:numRef>
              <c:f>RECAPITULATIF!$B$5:$B$16</c:f>
              <c:numCache>
                <c:formatCode>_(* #,##0_);_(* \(#,##0\);_(* "-"_);_(@_)</c:formatCode>
                <c:ptCount val="11"/>
                <c:pt idx="0">
                  <c:v>35000</c:v>
                </c:pt>
                <c:pt idx="1">
                  <c:v>55000</c:v>
                </c:pt>
                <c:pt idx="2">
                  <c:v>80000</c:v>
                </c:pt>
                <c:pt idx="3">
                  <c:v>103000</c:v>
                </c:pt>
                <c:pt idx="4">
                  <c:v>140000</c:v>
                </c:pt>
                <c:pt idx="5">
                  <c:v>24000</c:v>
                </c:pt>
                <c:pt idx="6">
                  <c:v>80000</c:v>
                </c:pt>
                <c:pt idx="7">
                  <c:v>45000</c:v>
                </c:pt>
                <c:pt idx="8">
                  <c:v>45000</c:v>
                </c:pt>
                <c:pt idx="9">
                  <c:v>17000</c:v>
                </c:pt>
                <c:pt idx="10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D-49F0-B9B0-CC72E110327A}"/>
            </c:ext>
          </c:extLst>
        </c:ser>
        <c:ser>
          <c:idx val="1"/>
          <c:order val="1"/>
          <c:tx>
            <c:strRef>
              <c:f>RECAPITULATIF!$C$4</c:f>
              <c:strCache>
                <c:ptCount val="1"/>
                <c:pt idx="0">
                  <c:v>Payés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RECAPITULATIF!$A$5:$A$16</c:f>
              <c:strCache>
                <c:ptCount val="11"/>
                <c:pt idx="0">
                  <c:v>Client Ponctuel</c:v>
                </c:pt>
                <c:pt idx="1">
                  <c:v>Client1</c:v>
                </c:pt>
                <c:pt idx="2">
                  <c:v>Client4</c:v>
                </c:pt>
                <c:pt idx="3">
                  <c:v>Client5</c:v>
                </c:pt>
                <c:pt idx="4">
                  <c:v>Client10</c:v>
                </c:pt>
                <c:pt idx="5">
                  <c:v>Client9</c:v>
                </c:pt>
                <c:pt idx="6">
                  <c:v>Client12</c:v>
                </c:pt>
                <c:pt idx="7">
                  <c:v>Client14</c:v>
                </c:pt>
                <c:pt idx="8">
                  <c:v>Client3</c:v>
                </c:pt>
                <c:pt idx="9">
                  <c:v>Client7</c:v>
                </c:pt>
                <c:pt idx="10">
                  <c:v>Client13</c:v>
                </c:pt>
              </c:strCache>
            </c:strRef>
          </c:cat>
          <c:val>
            <c:numRef>
              <c:f>RECAPITULATIF!$C$5:$C$16</c:f>
              <c:numCache>
                <c:formatCode>_(* #,##0_);_(* \(#,##0\);_(* "-"_);_(@_)</c:formatCode>
                <c:ptCount val="11"/>
                <c:pt idx="0">
                  <c:v>20000</c:v>
                </c:pt>
                <c:pt idx="1">
                  <c:v>55000</c:v>
                </c:pt>
                <c:pt idx="2">
                  <c:v>45000</c:v>
                </c:pt>
                <c:pt idx="3">
                  <c:v>103000</c:v>
                </c:pt>
                <c:pt idx="4">
                  <c:v>80000</c:v>
                </c:pt>
                <c:pt idx="5">
                  <c:v>10000</c:v>
                </c:pt>
                <c:pt idx="6">
                  <c:v>80000</c:v>
                </c:pt>
                <c:pt idx="8">
                  <c:v>25000</c:v>
                </c:pt>
                <c:pt idx="9">
                  <c:v>17000</c:v>
                </c:pt>
                <c:pt idx="1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D-49F0-B9B0-CC72E110327A}"/>
            </c:ext>
          </c:extLst>
        </c:ser>
        <c:ser>
          <c:idx val="2"/>
          <c:order val="2"/>
          <c:tx>
            <c:strRef>
              <c:f>RECAPITULATIF!$D$4</c:f>
              <c:strCache>
                <c:ptCount val="1"/>
                <c:pt idx="0">
                  <c:v>Due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RECAPITULATIF!$A$5:$A$16</c:f>
              <c:strCache>
                <c:ptCount val="11"/>
                <c:pt idx="0">
                  <c:v>Client Ponctuel</c:v>
                </c:pt>
                <c:pt idx="1">
                  <c:v>Client1</c:v>
                </c:pt>
                <c:pt idx="2">
                  <c:v>Client4</c:v>
                </c:pt>
                <c:pt idx="3">
                  <c:v>Client5</c:v>
                </c:pt>
                <c:pt idx="4">
                  <c:v>Client10</c:v>
                </c:pt>
                <c:pt idx="5">
                  <c:v>Client9</c:v>
                </c:pt>
                <c:pt idx="6">
                  <c:v>Client12</c:v>
                </c:pt>
                <c:pt idx="7">
                  <c:v>Client14</c:v>
                </c:pt>
                <c:pt idx="8">
                  <c:v>Client3</c:v>
                </c:pt>
                <c:pt idx="9">
                  <c:v>Client7</c:v>
                </c:pt>
                <c:pt idx="10">
                  <c:v>Client13</c:v>
                </c:pt>
              </c:strCache>
            </c:strRef>
          </c:cat>
          <c:val>
            <c:numRef>
              <c:f>RECAPITULATIF!$D$5:$D$16</c:f>
              <c:numCache>
                <c:formatCode>_(* #,##0_);_(* \(#,##0\);_(* "-"_);_(@_)</c:formatCode>
                <c:ptCount val="11"/>
                <c:pt idx="0">
                  <c:v>15000</c:v>
                </c:pt>
                <c:pt idx="1">
                  <c:v>0</c:v>
                </c:pt>
                <c:pt idx="2">
                  <c:v>35000</c:v>
                </c:pt>
                <c:pt idx="3">
                  <c:v>0</c:v>
                </c:pt>
                <c:pt idx="4">
                  <c:v>60000</c:v>
                </c:pt>
                <c:pt idx="5">
                  <c:v>14000</c:v>
                </c:pt>
                <c:pt idx="6">
                  <c:v>0</c:v>
                </c:pt>
                <c:pt idx="7">
                  <c:v>45000</c:v>
                </c:pt>
                <c:pt idx="8">
                  <c:v>20000</c:v>
                </c:pt>
                <c:pt idx="9">
                  <c:v>0</c:v>
                </c:pt>
                <c:pt idx="10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D-49F0-B9B0-CC72E11032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76506175"/>
        <c:axId val="376506591"/>
      </c:barChart>
      <c:catAx>
        <c:axId val="3765061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506591"/>
        <c:crosses val="autoZero"/>
        <c:auto val="1"/>
        <c:lblAlgn val="ctr"/>
        <c:lblOffset val="100"/>
        <c:noMultiLvlLbl val="0"/>
      </c:catAx>
      <c:valAx>
        <c:axId val="376506591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765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SUIVI VENTES ET DEPENSES.xlsx]RECAPITULATIF!Tableau croisé dynamique8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 sz="900"/>
              <a:t>Evolution des ventes</a:t>
            </a:r>
            <a:r>
              <a:rPr lang="fr-SN" sz="900" baseline="0"/>
              <a:t> </a:t>
            </a:r>
            <a:r>
              <a:rPr lang="fr-SN" sz="900"/>
              <a:t>et revenus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6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6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triangle"/>
          <c:size val="6"/>
          <c:spPr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RECAPITULATIF!$G$57</c:f>
              <c:strCache>
                <c:ptCount val="1"/>
                <c:pt idx="0">
                  <c:v>Ventes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RECAPITULATIF!$F$58:$F$69</c:f>
              <c:strCache>
                <c:ptCount val="11"/>
                <c:pt idx="0">
                  <c:v>19/04/2024</c:v>
                </c:pt>
                <c:pt idx="1">
                  <c:v>20/04/2024</c:v>
                </c:pt>
                <c:pt idx="2">
                  <c:v>21/04/2024</c:v>
                </c:pt>
                <c:pt idx="3">
                  <c:v>22/01/2025</c:v>
                </c:pt>
                <c:pt idx="4">
                  <c:v>23/01/2025</c:v>
                </c:pt>
                <c:pt idx="5">
                  <c:v>24/02/2025</c:v>
                </c:pt>
                <c:pt idx="6">
                  <c:v>25/02/2025</c:v>
                </c:pt>
                <c:pt idx="7">
                  <c:v>26/02/2025</c:v>
                </c:pt>
                <c:pt idx="8">
                  <c:v>03/03/2025</c:v>
                </c:pt>
                <c:pt idx="9">
                  <c:v>02/03/2025</c:v>
                </c:pt>
                <c:pt idx="10">
                  <c:v>29/01/2025</c:v>
                </c:pt>
              </c:strCache>
            </c:strRef>
          </c:cat>
          <c:val>
            <c:numRef>
              <c:f>RECAPITULATIF!$G$58:$G$69</c:f>
              <c:numCache>
                <c:formatCode>_(* #,##0_);_(* \(#,##0\);_(* "-"_);_(@_)</c:formatCode>
                <c:ptCount val="11"/>
                <c:pt idx="0">
                  <c:v>80000</c:v>
                </c:pt>
                <c:pt idx="1">
                  <c:v>209000</c:v>
                </c:pt>
                <c:pt idx="2">
                  <c:v>60000</c:v>
                </c:pt>
                <c:pt idx="3">
                  <c:v>35000</c:v>
                </c:pt>
                <c:pt idx="4">
                  <c:v>80000</c:v>
                </c:pt>
                <c:pt idx="5">
                  <c:v>35000</c:v>
                </c:pt>
                <c:pt idx="6">
                  <c:v>18000</c:v>
                </c:pt>
                <c:pt idx="7">
                  <c:v>45000</c:v>
                </c:pt>
                <c:pt idx="8">
                  <c:v>45000</c:v>
                </c:pt>
                <c:pt idx="9">
                  <c:v>17000</c:v>
                </c:pt>
                <c:pt idx="10">
                  <c:v>132000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C-4275-BEB2-B48976A23886}"/>
            </c:ext>
          </c:extLst>
        </c:ser>
        <c:ser>
          <c:idx val="1"/>
          <c:order val="1"/>
          <c:tx>
            <c:strRef>
              <c:f>RECAPITULATIF!$H$57</c:f>
              <c:strCache>
                <c:ptCount val="1"/>
                <c:pt idx="0">
                  <c:v>Bénéfices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RECAPITULATIF!$F$58:$F$69</c:f>
              <c:strCache>
                <c:ptCount val="11"/>
                <c:pt idx="0">
                  <c:v>19/04/2024</c:v>
                </c:pt>
                <c:pt idx="1">
                  <c:v>20/04/2024</c:v>
                </c:pt>
                <c:pt idx="2">
                  <c:v>21/04/2024</c:v>
                </c:pt>
                <c:pt idx="3">
                  <c:v>22/01/2025</c:v>
                </c:pt>
                <c:pt idx="4">
                  <c:v>23/01/2025</c:v>
                </c:pt>
                <c:pt idx="5">
                  <c:v>24/02/2025</c:v>
                </c:pt>
                <c:pt idx="6">
                  <c:v>25/02/2025</c:v>
                </c:pt>
                <c:pt idx="7">
                  <c:v>26/02/2025</c:v>
                </c:pt>
                <c:pt idx="8">
                  <c:v>03/03/2025</c:v>
                </c:pt>
                <c:pt idx="9">
                  <c:v>02/03/2025</c:v>
                </c:pt>
                <c:pt idx="10">
                  <c:v>29/01/2025</c:v>
                </c:pt>
              </c:strCache>
            </c:strRef>
          </c:cat>
          <c:val>
            <c:numRef>
              <c:f>RECAPITULATIF!$H$58:$H$69</c:f>
              <c:numCache>
                <c:formatCode>_(* #,##0_);_(* \(#,##0\);_(* "-"_);_(@_)</c:formatCode>
                <c:ptCount val="11"/>
                <c:pt idx="0">
                  <c:v>37000</c:v>
                </c:pt>
                <c:pt idx="1">
                  <c:v>98000</c:v>
                </c:pt>
                <c:pt idx="2">
                  <c:v>38000</c:v>
                </c:pt>
                <c:pt idx="3">
                  <c:v>22000</c:v>
                </c:pt>
                <c:pt idx="4">
                  <c:v>55000</c:v>
                </c:pt>
                <c:pt idx="5">
                  <c:v>22000</c:v>
                </c:pt>
                <c:pt idx="6">
                  <c:v>13000</c:v>
                </c:pt>
                <c:pt idx="7">
                  <c:v>23500</c:v>
                </c:pt>
                <c:pt idx="8">
                  <c:v>24000</c:v>
                </c:pt>
                <c:pt idx="9">
                  <c:v>2000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C-4275-BEB2-B48976A23886}"/>
            </c:ext>
          </c:extLst>
        </c:ser>
        <c:ser>
          <c:idx val="2"/>
          <c:order val="2"/>
          <c:tx>
            <c:strRef>
              <c:f>RECAPITULATIF!$I$57</c:f>
              <c:strCache>
                <c:ptCount val="1"/>
                <c:pt idx="0">
                  <c:v>Gains perçus</c:v>
                </c:pt>
              </c:strCache>
            </c:strRef>
          </c:tx>
          <c:spPr>
            <a:ln w="2222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marker>
          <c:cat>
            <c:strRef>
              <c:f>RECAPITULATIF!$F$58:$F$69</c:f>
              <c:strCache>
                <c:ptCount val="11"/>
                <c:pt idx="0">
                  <c:v>19/04/2024</c:v>
                </c:pt>
                <c:pt idx="1">
                  <c:v>20/04/2024</c:v>
                </c:pt>
                <c:pt idx="2">
                  <c:v>21/04/2024</c:v>
                </c:pt>
                <c:pt idx="3">
                  <c:v>22/01/2025</c:v>
                </c:pt>
                <c:pt idx="4">
                  <c:v>23/01/2025</c:v>
                </c:pt>
                <c:pt idx="5">
                  <c:v>24/02/2025</c:v>
                </c:pt>
                <c:pt idx="6">
                  <c:v>25/02/2025</c:v>
                </c:pt>
                <c:pt idx="7">
                  <c:v>26/02/2025</c:v>
                </c:pt>
                <c:pt idx="8">
                  <c:v>03/03/2025</c:v>
                </c:pt>
                <c:pt idx="9">
                  <c:v>02/03/2025</c:v>
                </c:pt>
                <c:pt idx="10">
                  <c:v>29/01/2025</c:v>
                </c:pt>
              </c:strCache>
            </c:strRef>
          </c:cat>
          <c:val>
            <c:numRef>
              <c:f>RECAPITULATIF!$I$58:$I$69</c:f>
              <c:numCache>
                <c:formatCode>_(* #,##0_);_(* \(#,##0\);_(* "-"_);_(@_)</c:formatCode>
                <c:ptCount val="11"/>
                <c:pt idx="0">
                  <c:v>37000</c:v>
                </c:pt>
                <c:pt idx="1">
                  <c:v>84000</c:v>
                </c:pt>
                <c:pt idx="2">
                  <c:v>-22000</c:v>
                </c:pt>
                <c:pt idx="3">
                  <c:v>-13000</c:v>
                </c:pt>
                <c:pt idx="4">
                  <c:v>55000</c:v>
                </c:pt>
                <c:pt idx="5">
                  <c:v>7000</c:v>
                </c:pt>
                <c:pt idx="6">
                  <c:v>13000</c:v>
                </c:pt>
                <c:pt idx="7">
                  <c:v>-21500</c:v>
                </c:pt>
                <c:pt idx="8">
                  <c:v>4000</c:v>
                </c:pt>
                <c:pt idx="9">
                  <c:v>2000</c:v>
                </c:pt>
                <c:pt idx="10">
                  <c:v>-82000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6C-4275-BEB2-B48976A23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935071"/>
        <c:axId val="388933407"/>
      </c:lineChart>
      <c:catAx>
        <c:axId val="3889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933407"/>
        <c:crosses val="autoZero"/>
        <c:auto val="1"/>
        <c:lblAlgn val="ctr"/>
        <c:lblOffset val="100"/>
        <c:noMultiLvlLbl val="0"/>
      </c:catAx>
      <c:valAx>
        <c:axId val="388933407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9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SUIVI VENTES ET DEPENSES.xlsx]RECAPITULATIF!Tableau croisé dynamique7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0"/>
              <a:t>Dépenses par catégories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1">
              <a:lumMod val="8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spc="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572646131429569"/>
          <c:y val="0.21444595006103417"/>
          <c:w val="0.42854724782980885"/>
          <c:h val="0.7312139913566168"/>
        </c:manualLayout>
      </c:layout>
      <c:pieChart>
        <c:varyColors val="1"/>
        <c:ser>
          <c:idx val="0"/>
          <c:order val="0"/>
          <c:tx>
            <c:strRef>
              <c:f>RECAPITULATIF!$E$40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C3-439A-8E2E-4F829B8EE3C5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C3-439A-8E2E-4F829B8EE3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C3-439A-8E2E-4F829B8EE3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C3-439A-8E2E-4F829B8EE3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C3-439A-8E2E-4F829B8EE3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4C3-439A-8E2E-4F829B8EE3C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spc="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4C3-439A-8E2E-4F829B8EE3C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spc="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4C3-439A-8E2E-4F829B8EE3C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spc="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4C3-439A-8E2E-4F829B8EE3C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spc="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4C3-439A-8E2E-4F829B8EE3C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spc="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4C3-439A-8E2E-4F829B8EE3C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spc="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4C3-439A-8E2E-4F829B8EE3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spc="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: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RECAPITULATIF!$D$41:$D$47</c:f>
              <c:strCache>
                <c:ptCount val="6"/>
                <c:pt idx="0">
                  <c:v>Divers</c:v>
                </c:pt>
                <c:pt idx="1">
                  <c:v>Electricité</c:v>
                </c:pt>
                <c:pt idx="2">
                  <c:v>Livraison</c:v>
                </c:pt>
                <c:pt idx="3">
                  <c:v>Mercerie</c:v>
                </c:pt>
                <c:pt idx="4">
                  <c:v>Tontine</c:v>
                </c:pt>
                <c:pt idx="5">
                  <c:v>Transport</c:v>
                </c:pt>
              </c:strCache>
            </c:strRef>
          </c:cat>
          <c:val>
            <c:numRef>
              <c:f>RECAPITULATIF!$E$41:$E$47</c:f>
              <c:numCache>
                <c:formatCode>_(* #,##0_);_(* \(#,##0\);_(* "-"_);_(@_)</c:formatCode>
                <c:ptCount val="6"/>
                <c:pt idx="0">
                  <c:v>28000</c:v>
                </c:pt>
                <c:pt idx="1">
                  <c:v>20000</c:v>
                </c:pt>
                <c:pt idx="2">
                  <c:v>5000</c:v>
                </c:pt>
                <c:pt idx="3">
                  <c:v>45450</c:v>
                </c:pt>
                <c:pt idx="4">
                  <c:v>120000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C3-439A-8E2E-4F829B8EE3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[Copie de SUIVI VENTES ET DEPENSES.xlsx]RECAPITULATIF!Tableau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Suivi des gains par article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RECAPITULATIF!$J$4</c:f>
              <c:strCache>
                <c:ptCount val="1"/>
                <c:pt idx="0">
                  <c:v>Frais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RECAPITULATIF!$I$5:$I$11</c:f>
              <c:strCache>
                <c:ptCount val="6"/>
                <c:pt idx="0">
                  <c:v>Chemise</c:v>
                </c:pt>
                <c:pt idx="1">
                  <c:v>Robe</c:v>
                </c:pt>
                <c:pt idx="2">
                  <c:v>Deux pièces</c:v>
                </c:pt>
                <c:pt idx="3">
                  <c:v>Couture</c:v>
                </c:pt>
                <c:pt idx="4">
                  <c:v>Trois pièces</c:v>
                </c:pt>
                <c:pt idx="5">
                  <c:v>Tunique</c:v>
                </c:pt>
              </c:strCache>
            </c:strRef>
          </c:cat>
          <c:val>
            <c:numRef>
              <c:f>RECAPITULATIF!$J$5:$J$11</c:f>
              <c:numCache>
                <c:formatCode>_(* #,##0_);_(* \(#,##0\);_(* "-"_);_(@_)</c:formatCode>
                <c:ptCount val="6"/>
                <c:pt idx="0">
                  <c:v>7000</c:v>
                </c:pt>
                <c:pt idx="1">
                  <c:v>90500</c:v>
                </c:pt>
                <c:pt idx="2">
                  <c:v>116000</c:v>
                </c:pt>
                <c:pt idx="3">
                  <c:v>161000</c:v>
                </c:pt>
                <c:pt idx="4">
                  <c:v>22000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2-4D6F-B1D5-C6FE5776B454}"/>
            </c:ext>
          </c:extLst>
        </c:ser>
        <c:ser>
          <c:idx val="1"/>
          <c:order val="1"/>
          <c:tx>
            <c:strRef>
              <c:f>RECAPITULATIF!$K$4</c:f>
              <c:strCache>
                <c:ptCount val="1"/>
                <c:pt idx="0">
                  <c:v>Gains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RECAPITULATIF!$I$5:$I$11</c:f>
              <c:strCache>
                <c:ptCount val="6"/>
                <c:pt idx="0">
                  <c:v>Chemise</c:v>
                </c:pt>
                <c:pt idx="1">
                  <c:v>Robe</c:v>
                </c:pt>
                <c:pt idx="2">
                  <c:v>Deux pièces</c:v>
                </c:pt>
                <c:pt idx="3">
                  <c:v>Couture</c:v>
                </c:pt>
                <c:pt idx="4">
                  <c:v>Trois pièces</c:v>
                </c:pt>
                <c:pt idx="5">
                  <c:v>Tunique</c:v>
                </c:pt>
              </c:strCache>
            </c:strRef>
          </c:cat>
          <c:val>
            <c:numRef>
              <c:f>RECAPITULATIF!$K$5:$K$11</c:f>
              <c:numCache>
                <c:formatCode>_(* #,##0_);_(* \(#,##0\);_(* "-"_);_(@_)</c:formatCode>
                <c:ptCount val="6"/>
                <c:pt idx="0">
                  <c:v>13000</c:v>
                </c:pt>
                <c:pt idx="1">
                  <c:v>97500</c:v>
                </c:pt>
                <c:pt idx="2">
                  <c:v>119000</c:v>
                </c:pt>
                <c:pt idx="3">
                  <c:v>12000</c:v>
                </c:pt>
                <c:pt idx="4">
                  <c:v>38000</c:v>
                </c:pt>
                <c:pt idx="5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2-4D6F-B1D5-C6FE5776B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283695"/>
        <c:axId val="624286191"/>
      </c:barChart>
      <c:catAx>
        <c:axId val="62428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286191"/>
        <c:crosses val="autoZero"/>
        <c:auto val="1"/>
        <c:lblAlgn val="ctr"/>
        <c:lblOffset val="100"/>
        <c:noMultiLvlLbl val="0"/>
      </c:catAx>
      <c:valAx>
        <c:axId val="62428619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28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95250</xdr:rowOff>
    </xdr:from>
    <xdr:to>
      <xdr:col>11</xdr:col>
      <xdr:colOff>743131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B1D4D090-1860-465B-BAF2-21645177B66A}"/>
            </a:ext>
          </a:extLst>
        </xdr:cNvPr>
        <xdr:cNvGrpSpPr/>
      </xdr:nvGrpSpPr>
      <xdr:grpSpPr>
        <a:xfrm>
          <a:off x="66675" y="95250"/>
          <a:ext cx="9344206" cy="297815"/>
          <a:chOff x="142875" y="85725"/>
          <a:chExt cx="7217020" cy="164465"/>
        </a:xfrm>
      </xdr:grpSpPr>
      <xdr:sp macro="" textlink="">
        <xdr:nvSpPr>
          <xdr:cNvPr id="3" name="Rectangle 3" title="Graphisme de pied de page court">
            <a:extLst>
              <a:ext uri="{FF2B5EF4-FFF2-40B4-BE49-F238E27FC236}">
                <a16:creationId xmlns:a16="http://schemas.microsoft.com/office/drawing/2014/main" id="{D804FAC1-B4D7-45B4-A40F-AE1D3E77176E}"/>
              </a:ext>
            </a:extLst>
          </xdr:cNvPr>
          <xdr:cNvSpPr/>
        </xdr:nvSpPr>
        <xdr:spPr>
          <a:xfrm>
            <a:off x="142875" y="85725"/>
            <a:ext cx="4671567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">
            <a:extLst>
              <a:ext uri="{FF2B5EF4-FFF2-40B4-BE49-F238E27FC236}">
                <a16:creationId xmlns:a16="http://schemas.microsoft.com/office/drawing/2014/main" id="{9401E75A-B52D-48CC-A8D4-58E313A008E6}"/>
              </a:ext>
            </a:extLst>
          </xdr:cNvPr>
          <xdr:cNvGrpSpPr/>
        </xdr:nvGrpSpPr>
        <xdr:grpSpPr>
          <a:xfrm>
            <a:off x="4799574" y="85725"/>
            <a:ext cx="2560321" cy="164465"/>
            <a:chOff x="9868490" y="200025"/>
            <a:chExt cx="3749041" cy="164465"/>
          </a:xfrm>
        </xdr:grpSpPr>
        <xdr:sp macro="" textlink="">
          <xdr:nvSpPr>
            <xdr:cNvPr id="5" name="Rectangle 5">
              <a:extLst>
                <a:ext uri="{FF2B5EF4-FFF2-40B4-BE49-F238E27FC236}">
                  <a16:creationId xmlns:a16="http://schemas.microsoft.com/office/drawing/2014/main" id="{A7916525-EB1B-448D-AF2A-8C0DE8409E61}"/>
                </a:ext>
              </a:extLst>
            </xdr:cNvPr>
            <xdr:cNvSpPr/>
          </xdr:nvSpPr>
          <xdr:spPr>
            <a:xfrm>
              <a:off x="10864880" y="200025"/>
              <a:ext cx="27362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B1B4FCE8-2686-4075-9936-829291D3E002}"/>
                </a:ext>
              </a:extLst>
            </xdr:cNvPr>
            <xdr:cNvSpPr/>
          </xdr:nvSpPr>
          <xdr:spPr>
            <a:xfrm>
              <a:off x="9868490" y="200025"/>
              <a:ext cx="99598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 7">
              <a:extLst>
                <a:ext uri="{FF2B5EF4-FFF2-40B4-BE49-F238E27FC236}">
                  <a16:creationId xmlns:a16="http://schemas.microsoft.com/office/drawing/2014/main" id="{2BE42BE7-3B1B-4452-B6DC-F0454B45CA49}"/>
                </a:ext>
              </a:extLst>
            </xdr:cNvPr>
            <xdr:cNvSpPr/>
          </xdr:nvSpPr>
          <xdr:spPr>
            <a:xfrm>
              <a:off x="11136260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 8">
              <a:extLst>
                <a:ext uri="{FF2B5EF4-FFF2-40B4-BE49-F238E27FC236}">
                  <a16:creationId xmlns:a16="http://schemas.microsoft.com/office/drawing/2014/main" id="{C75B1C47-E263-4577-83A0-ED9A56FF5634}"/>
                </a:ext>
              </a:extLst>
            </xdr:cNvPr>
            <xdr:cNvSpPr/>
          </xdr:nvSpPr>
          <xdr:spPr>
            <a:xfrm>
              <a:off x="12139989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AECE03DD-9A9F-495C-B2D3-C2BCB79841D0}"/>
                </a:ext>
              </a:extLst>
            </xdr:cNvPr>
            <xdr:cNvSpPr/>
          </xdr:nvSpPr>
          <xdr:spPr>
            <a:xfrm>
              <a:off x="12715856" y="200025"/>
              <a:ext cx="901675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  <xdr:twoCellAnchor>
    <xdr:from>
      <xdr:col>11</xdr:col>
      <xdr:colOff>123824</xdr:colOff>
      <xdr:row>18</xdr:row>
      <xdr:rowOff>109537</xdr:rowOff>
    </xdr:from>
    <xdr:to>
      <xdr:col>16</xdr:col>
      <xdr:colOff>723899</xdr:colOff>
      <xdr:row>32</xdr:row>
      <xdr:rowOff>185737</xdr:rowOff>
    </xdr:to>
    <xdr:graphicFrame macro="">
      <xdr:nvGraphicFramePr>
        <xdr:cNvPr id="11" name="Creances">
          <a:extLst>
            <a:ext uri="{FF2B5EF4-FFF2-40B4-BE49-F238E27FC236}">
              <a16:creationId xmlns:a16="http://schemas.microsoft.com/office/drawing/2014/main" id="{D46AB084-116E-4E4E-ABEF-8160370B9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3</xdr:row>
      <xdr:rowOff>33337</xdr:rowOff>
    </xdr:from>
    <xdr:to>
      <xdr:col>16</xdr:col>
      <xdr:colOff>695325</xdr:colOff>
      <xdr:row>17</xdr:row>
      <xdr:rowOff>100012</xdr:rowOff>
    </xdr:to>
    <xdr:graphicFrame macro="">
      <xdr:nvGraphicFramePr>
        <xdr:cNvPr id="12" name="Gain">
          <a:extLst>
            <a:ext uri="{FF2B5EF4-FFF2-40B4-BE49-F238E27FC236}">
              <a16:creationId xmlns:a16="http://schemas.microsoft.com/office/drawing/2014/main" id="{F3B75556-C980-472F-9182-C4A40B8E9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133349</xdr:colOff>
      <xdr:row>33</xdr:row>
      <xdr:rowOff>109537</xdr:rowOff>
    </xdr:from>
    <xdr:to>
      <xdr:col>16</xdr:col>
      <xdr:colOff>723900</xdr:colOff>
      <xdr:row>49</xdr:row>
      <xdr:rowOff>161925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44F9B08B-20A3-4398-87C5-2BC07E7F9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133349</xdr:colOff>
      <xdr:row>50</xdr:row>
      <xdr:rowOff>100011</xdr:rowOff>
    </xdr:from>
    <xdr:to>
      <xdr:col>16</xdr:col>
      <xdr:colOff>733424</xdr:colOff>
      <xdr:row>67</xdr:row>
      <xdr:rowOff>180974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30A6F956-B771-4909-A69F-7E9992A16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1789546</xdr:colOff>
      <xdr:row>26</xdr:row>
      <xdr:rowOff>48488</xdr:rowOff>
    </xdr:from>
    <xdr:to>
      <xdr:col>10</xdr:col>
      <xdr:colOff>1983798</xdr:colOff>
      <xdr:row>48</xdr:row>
      <xdr:rowOff>57727</xdr:rowOff>
    </xdr:to>
    <xdr:graphicFrame macro="">
      <xdr:nvGraphicFramePr>
        <xdr:cNvPr id="2" name="Creances">
          <a:extLst>
            <a:ext uri="{FF2B5EF4-FFF2-40B4-BE49-F238E27FC236}">
              <a16:creationId xmlns:a16="http://schemas.microsoft.com/office/drawing/2014/main" id="{EDA414C4-8D98-4CA8-9A91-83E6AAAB8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9526</xdr:colOff>
      <xdr:row>5</xdr:row>
      <xdr:rowOff>152398</xdr:rowOff>
    </xdr:from>
    <xdr:to>
      <xdr:col>11</xdr:col>
      <xdr:colOff>10583</xdr:colOff>
      <xdr:row>25</xdr:row>
      <xdr:rowOff>57728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F1432DE-896D-4D0C-A1C7-152825404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104774</xdr:colOff>
      <xdr:row>0</xdr:row>
      <xdr:rowOff>28575</xdr:rowOff>
    </xdr:from>
    <xdr:to>
      <xdr:col>17</xdr:col>
      <xdr:colOff>466725</xdr:colOff>
      <xdr:row>4</xdr:row>
      <xdr:rowOff>314325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 de facturation">
              <a:extLst>
                <a:ext uri="{FF2B5EF4-FFF2-40B4-BE49-F238E27FC236}">
                  <a16:creationId xmlns:a16="http://schemas.microsoft.com/office/drawing/2014/main" id="{0B8E92EE-15AE-422C-B45F-6ACB46366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0549" y="28575"/>
              <a:ext cx="5391151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>
    <xdr:from>
      <xdr:col>11</xdr:col>
      <xdr:colOff>156442</xdr:colOff>
      <xdr:row>6</xdr:row>
      <xdr:rowOff>2307</xdr:rowOff>
    </xdr:from>
    <xdr:to>
      <xdr:col>18</xdr:col>
      <xdr:colOff>357909</xdr:colOff>
      <xdr:row>25</xdr:row>
      <xdr:rowOff>46182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1A1AF77-39DB-4E84-959D-8653E9132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144894</xdr:colOff>
      <xdr:row>26</xdr:row>
      <xdr:rowOff>29441</xdr:rowOff>
    </xdr:from>
    <xdr:to>
      <xdr:col>18</xdr:col>
      <xdr:colOff>357909</xdr:colOff>
      <xdr:row>48</xdr:row>
      <xdr:rowOff>23091</xdr:rowOff>
    </xdr:to>
    <xdr:graphicFrame macro="">
      <xdr:nvGraphicFramePr>
        <xdr:cNvPr id="11" name="Gain">
          <a:extLst>
            <a:ext uri="{FF2B5EF4-FFF2-40B4-BE49-F238E27FC236}">
              <a16:creationId xmlns:a16="http://schemas.microsoft.com/office/drawing/2014/main" id="{D5253ADB-CF96-4F97-8514-D1DDB793E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114300</xdr:colOff>
      <xdr:row>13</xdr:row>
      <xdr:rowOff>47624</xdr:rowOff>
    </xdr:from>
    <xdr:to>
      <xdr:col>1</xdr:col>
      <xdr:colOff>1352550</xdr:colOff>
      <xdr:row>23</xdr:row>
      <xdr:rowOff>7792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rticle">
              <a:extLst>
                <a:ext uri="{FF2B5EF4-FFF2-40B4-BE49-F238E27FC236}">
                  <a16:creationId xmlns:a16="http://schemas.microsoft.com/office/drawing/2014/main" id="{B565490E-E1FB-4439-A744-9B6B3C18A6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3019424"/>
              <a:ext cx="2790825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5</xdr:row>
      <xdr:rowOff>161925</xdr:rowOff>
    </xdr:from>
    <xdr:to>
      <xdr:col>1</xdr:col>
      <xdr:colOff>1323975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égorie">
              <a:extLst>
                <a:ext uri="{FF2B5EF4-FFF2-40B4-BE49-F238E27FC236}">
                  <a16:creationId xmlns:a16="http://schemas.microsoft.com/office/drawing/2014/main" id="{8D4CE9FA-1648-4392-894E-A2C3BB9AB7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609725"/>
              <a:ext cx="27813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22</xdr:row>
      <xdr:rowOff>180973</xdr:rowOff>
    </xdr:from>
    <xdr:to>
      <xdr:col>1</xdr:col>
      <xdr:colOff>1352550</xdr:colOff>
      <xdr:row>37</xdr:row>
      <xdr:rowOff>85723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lient">
              <a:extLst>
                <a:ext uri="{FF2B5EF4-FFF2-40B4-BE49-F238E27FC236}">
                  <a16:creationId xmlns:a16="http://schemas.microsoft.com/office/drawing/2014/main" id="{BA66174A-6E6D-4534-944F-7CF8FF758B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4867273"/>
              <a:ext cx="2781300" cy="261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14</xdr:col>
      <xdr:colOff>181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D937D081-27E0-4577-8E54-0988BC89F9B5}"/>
            </a:ext>
          </a:extLst>
        </xdr:cNvPr>
        <xdr:cNvGrpSpPr/>
      </xdr:nvGrpSpPr>
      <xdr:grpSpPr>
        <a:xfrm>
          <a:off x="200025" y="95250"/>
          <a:ext cx="19193056" cy="297815"/>
          <a:chOff x="142875" y="85725"/>
          <a:chExt cx="7705905" cy="164465"/>
        </a:xfrm>
      </xdr:grpSpPr>
      <xdr:sp macro="" textlink="">
        <xdr:nvSpPr>
          <xdr:cNvPr id="3" name="Rectangle 3" title="Graphisme de pied de page court">
            <a:extLst>
              <a:ext uri="{FF2B5EF4-FFF2-40B4-BE49-F238E27FC236}">
                <a16:creationId xmlns:a16="http://schemas.microsoft.com/office/drawing/2014/main" id="{A57CA991-69CA-4888-8A5D-B0749ADEE1A8}"/>
              </a:ext>
            </a:extLst>
          </xdr:cNvPr>
          <xdr:cNvSpPr/>
        </xdr:nvSpPr>
        <xdr:spPr>
          <a:xfrm>
            <a:off x="142875" y="85725"/>
            <a:ext cx="5120640" cy="164465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">
            <a:extLst>
              <a:ext uri="{FF2B5EF4-FFF2-40B4-BE49-F238E27FC236}">
                <a16:creationId xmlns:a16="http://schemas.microsoft.com/office/drawing/2014/main" id="{92CFBF4E-BF59-4C54-A4AB-7FEA7261876F}"/>
              </a:ext>
            </a:extLst>
          </xdr:cNvPr>
          <xdr:cNvGrpSpPr/>
        </xdr:nvGrpSpPr>
        <xdr:grpSpPr>
          <a:xfrm>
            <a:off x="5288459" y="85725"/>
            <a:ext cx="2560321" cy="164465"/>
            <a:chOff x="10584357" y="200025"/>
            <a:chExt cx="3749041" cy="164465"/>
          </a:xfrm>
        </xdr:grpSpPr>
        <xdr:sp macro="" textlink="">
          <xdr:nvSpPr>
            <xdr:cNvPr id="5" name="Rectangle 5">
              <a:extLst>
                <a:ext uri="{FF2B5EF4-FFF2-40B4-BE49-F238E27FC236}">
                  <a16:creationId xmlns:a16="http://schemas.microsoft.com/office/drawing/2014/main" id="{C30DAE6B-5C12-415B-BFCF-10083906EECA}"/>
                </a:ext>
              </a:extLst>
            </xdr:cNvPr>
            <xdr:cNvSpPr/>
          </xdr:nvSpPr>
          <xdr:spPr>
            <a:xfrm>
              <a:off x="11573289" y="200025"/>
              <a:ext cx="273628" cy="164465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B427DF99-D33A-4030-A85B-0830C7DB9E66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 7">
              <a:extLst>
                <a:ext uri="{FF2B5EF4-FFF2-40B4-BE49-F238E27FC236}">
                  <a16:creationId xmlns:a16="http://schemas.microsoft.com/office/drawing/2014/main" id="{0E67484A-67D1-4C0B-98DA-CD794EB0D5D9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 8">
              <a:extLst>
                <a:ext uri="{FF2B5EF4-FFF2-40B4-BE49-F238E27FC236}">
                  <a16:creationId xmlns:a16="http://schemas.microsoft.com/office/drawing/2014/main" id="{F6DCACE3-B00C-4457-B810-19BC8170A7C7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8123E91A-22E2-4134-8E17-39C019B04B6E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6</xdr:col>
      <xdr:colOff>181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36B9A47A-98E9-4115-A8BD-9B406FE40627}"/>
            </a:ext>
          </a:extLst>
        </xdr:cNvPr>
        <xdr:cNvGrpSpPr/>
      </xdr:nvGrpSpPr>
      <xdr:grpSpPr>
        <a:xfrm>
          <a:off x="200025" y="95250"/>
          <a:ext cx="9801406" cy="297815"/>
          <a:chOff x="142875" y="85725"/>
          <a:chExt cx="7705905" cy="164465"/>
        </a:xfrm>
      </xdr:grpSpPr>
      <xdr:sp macro="" textlink="">
        <xdr:nvSpPr>
          <xdr:cNvPr id="3" name="Rectangle 3" title="Graphisme de pied de page court">
            <a:extLst>
              <a:ext uri="{FF2B5EF4-FFF2-40B4-BE49-F238E27FC236}">
                <a16:creationId xmlns:a16="http://schemas.microsoft.com/office/drawing/2014/main" id="{61AA27D4-159A-4BA4-B611-526BA000137F}"/>
              </a:ext>
            </a:extLst>
          </xdr:cNvPr>
          <xdr:cNvSpPr/>
        </xdr:nvSpPr>
        <xdr:spPr>
          <a:xfrm>
            <a:off x="142875" y="85725"/>
            <a:ext cx="5120640" cy="164465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">
            <a:extLst>
              <a:ext uri="{FF2B5EF4-FFF2-40B4-BE49-F238E27FC236}">
                <a16:creationId xmlns:a16="http://schemas.microsoft.com/office/drawing/2014/main" id="{FA860BDF-F65A-40E3-923F-908A01583A1E}"/>
              </a:ext>
            </a:extLst>
          </xdr:cNvPr>
          <xdr:cNvGrpSpPr/>
        </xdr:nvGrpSpPr>
        <xdr:grpSpPr>
          <a:xfrm>
            <a:off x="5288459" y="85725"/>
            <a:ext cx="2560321" cy="164465"/>
            <a:chOff x="10584357" y="200025"/>
            <a:chExt cx="3749041" cy="164465"/>
          </a:xfrm>
        </xdr:grpSpPr>
        <xdr:sp macro="" textlink="">
          <xdr:nvSpPr>
            <xdr:cNvPr id="5" name="Rectangle 5">
              <a:extLst>
                <a:ext uri="{FF2B5EF4-FFF2-40B4-BE49-F238E27FC236}">
                  <a16:creationId xmlns:a16="http://schemas.microsoft.com/office/drawing/2014/main" id="{3E3D71E1-7DC9-42CF-9B2F-F0F164DB388B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5"/>
            </a:solidFill>
            <a:ln>
              <a:solidFill>
                <a:schemeClr val="accent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7602F9B-E2DA-4AF1-A6F5-2A2C0D642D65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5"/>
            </a:solidFill>
            <a:ln>
              <a:solidFill>
                <a:schemeClr val="accent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 7">
              <a:extLst>
                <a:ext uri="{FF2B5EF4-FFF2-40B4-BE49-F238E27FC236}">
                  <a16:creationId xmlns:a16="http://schemas.microsoft.com/office/drawing/2014/main" id="{11AEF8EB-3C7B-4974-B6D7-1565AEB40EB2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5"/>
            </a:solidFill>
            <a:ln>
              <a:solidFill>
                <a:schemeClr val="accent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 8">
              <a:extLst>
                <a:ext uri="{FF2B5EF4-FFF2-40B4-BE49-F238E27FC236}">
                  <a16:creationId xmlns:a16="http://schemas.microsoft.com/office/drawing/2014/main" id="{4EDE8926-420B-4B72-8351-E5DB0800706E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5"/>
            </a:solidFill>
            <a:ln>
              <a:solidFill>
                <a:schemeClr val="accent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6A4936BB-5C7F-4673-B262-366CDF73D5E5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5"/>
            </a:solidFill>
            <a:ln>
              <a:solidFill>
                <a:schemeClr val="accent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7</xdr:col>
      <xdr:colOff>0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73EB41EB-8A86-44B9-AA78-BC5E4F6EA5CA}"/>
            </a:ext>
          </a:extLst>
        </xdr:cNvPr>
        <xdr:cNvGrpSpPr/>
      </xdr:nvGrpSpPr>
      <xdr:grpSpPr>
        <a:xfrm>
          <a:off x="200025" y="95250"/>
          <a:ext cx="9201150" cy="297815"/>
          <a:chOff x="171449" y="152400"/>
          <a:chExt cx="13657124" cy="164465"/>
        </a:xfrm>
      </xdr:grpSpPr>
      <xdr:sp macro="" textlink="">
        <xdr:nvSpPr>
          <xdr:cNvPr id="3" name="Rectangle 38" title="Graphisme de pied de page court">
            <a:extLst>
              <a:ext uri="{FF2B5EF4-FFF2-40B4-BE49-F238E27FC236}">
                <a16:creationId xmlns:a16="http://schemas.microsoft.com/office/drawing/2014/main" id="{CCB14EB0-0E32-4220-A8AE-BE7267A431DF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5">
            <a:extLst>
              <a:ext uri="{FF2B5EF4-FFF2-40B4-BE49-F238E27FC236}">
                <a16:creationId xmlns:a16="http://schemas.microsoft.com/office/drawing/2014/main" id="{0F8580AA-8671-4D9C-91FD-70A642F0326E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5" name="Rectangle 39">
              <a:extLst>
                <a:ext uri="{FF2B5EF4-FFF2-40B4-BE49-F238E27FC236}">
                  <a16:creationId xmlns:a16="http://schemas.microsoft.com/office/drawing/2014/main" id="{5B039DEF-EA47-4B8A-B3E0-C94C6D55362A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273FC10E-6D9F-4110-8BB7-34E561A32482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5C869F2D-FBB0-45D9-A71B-DE495E4E58DA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82A4E1A2-2B9E-46CE-8A0E-F5AF24DF1A10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 43">
              <a:extLst>
                <a:ext uri="{FF2B5EF4-FFF2-40B4-BE49-F238E27FC236}">
                  <a16:creationId xmlns:a16="http://schemas.microsoft.com/office/drawing/2014/main" id="{6FA1A35C-A63B-43D5-BE38-70EAC9F6347C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7</xdr:col>
      <xdr:colOff>0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DCD2DBD8-A3AC-42AD-B29E-372CA9E6B489}"/>
            </a:ext>
          </a:extLst>
        </xdr:cNvPr>
        <xdr:cNvGrpSpPr/>
      </xdr:nvGrpSpPr>
      <xdr:grpSpPr>
        <a:xfrm>
          <a:off x="200025" y="95250"/>
          <a:ext cx="7848600" cy="297815"/>
          <a:chOff x="171449" y="152400"/>
          <a:chExt cx="13657124" cy="164465"/>
        </a:xfrm>
      </xdr:grpSpPr>
      <xdr:sp macro="" textlink="">
        <xdr:nvSpPr>
          <xdr:cNvPr id="3" name="Rectangle 38" title="Graphisme de pied de page court">
            <a:extLst>
              <a:ext uri="{FF2B5EF4-FFF2-40B4-BE49-F238E27FC236}">
                <a16:creationId xmlns:a16="http://schemas.microsoft.com/office/drawing/2014/main" id="{6CDF576C-3FAA-4BA4-B7F5-FE5598C86175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5">
            <a:extLst>
              <a:ext uri="{FF2B5EF4-FFF2-40B4-BE49-F238E27FC236}">
                <a16:creationId xmlns:a16="http://schemas.microsoft.com/office/drawing/2014/main" id="{A8C973EA-5C19-4D30-8A28-6C8FA0D8AA96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5" name="Rectangle 39">
              <a:extLst>
                <a:ext uri="{FF2B5EF4-FFF2-40B4-BE49-F238E27FC236}">
                  <a16:creationId xmlns:a16="http://schemas.microsoft.com/office/drawing/2014/main" id="{3538C654-A5A5-480C-BEA1-7C7707311CF6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13B78973-31ED-441F-A2F9-FF432CD5732E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281AA07F-079F-4A21-B7E1-27C305B3C397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E8FC1B3A-7843-4AB2-AD6B-537EBD12EE25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 43">
              <a:extLst>
                <a:ext uri="{FF2B5EF4-FFF2-40B4-BE49-F238E27FC236}">
                  <a16:creationId xmlns:a16="http://schemas.microsoft.com/office/drawing/2014/main" id="{5DD717DB-1A78-4C9B-9E53-F61180F9B9C1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4</xdr:col>
      <xdr:colOff>0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551C8C40-85C5-48D7-B2DF-9D205E00647C}"/>
            </a:ext>
          </a:extLst>
        </xdr:cNvPr>
        <xdr:cNvGrpSpPr/>
      </xdr:nvGrpSpPr>
      <xdr:grpSpPr>
        <a:xfrm>
          <a:off x="200025" y="95250"/>
          <a:ext cx="4010025" cy="297815"/>
          <a:chOff x="171449" y="152400"/>
          <a:chExt cx="13657124" cy="164465"/>
        </a:xfrm>
      </xdr:grpSpPr>
      <xdr:sp macro="" textlink="">
        <xdr:nvSpPr>
          <xdr:cNvPr id="3" name="Rectangle 38" title="Graphisme de pied de page court">
            <a:extLst>
              <a:ext uri="{FF2B5EF4-FFF2-40B4-BE49-F238E27FC236}">
                <a16:creationId xmlns:a16="http://schemas.microsoft.com/office/drawing/2014/main" id="{21836239-4473-4A90-B141-F23C3868D183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5">
            <a:extLst>
              <a:ext uri="{FF2B5EF4-FFF2-40B4-BE49-F238E27FC236}">
                <a16:creationId xmlns:a16="http://schemas.microsoft.com/office/drawing/2014/main" id="{7CECCE70-C9A0-4330-B3EB-206721789C5D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5" name="Rectangle 39">
              <a:extLst>
                <a:ext uri="{FF2B5EF4-FFF2-40B4-BE49-F238E27FC236}">
                  <a16:creationId xmlns:a16="http://schemas.microsoft.com/office/drawing/2014/main" id="{5B692D16-B4A3-4570-82E7-EB3D2757BBEF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53E886F5-8857-48B6-9476-4243CBE9ADD5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46FFC92E-E7EF-4CCC-9FE2-6D8EA288D39B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A5CE6B6D-71D9-4E71-8962-EC66FD4AC4E3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 43">
              <a:extLst>
                <a:ext uri="{FF2B5EF4-FFF2-40B4-BE49-F238E27FC236}">
                  <a16:creationId xmlns:a16="http://schemas.microsoft.com/office/drawing/2014/main" id="{F7CE0D7B-B7DF-49FA-BCC5-3EA3F8A36071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4</xdr:col>
      <xdr:colOff>0</xdr:colOff>
      <xdr:row>1</xdr:row>
      <xdr:rowOff>2540</xdr:rowOff>
    </xdr:to>
    <xdr:grpSp>
      <xdr:nvGrpSpPr>
        <xdr:cNvPr id="2" name="Groupe d’illustration d’en-tête" descr="Illustration d’en-tête">
          <a:extLst>
            <a:ext uri="{FF2B5EF4-FFF2-40B4-BE49-F238E27FC236}">
              <a16:creationId xmlns:a16="http://schemas.microsoft.com/office/drawing/2014/main" id="{70C133F8-8EF4-41B0-8975-D9C52DE3E0C2}"/>
            </a:ext>
          </a:extLst>
        </xdr:cNvPr>
        <xdr:cNvGrpSpPr/>
      </xdr:nvGrpSpPr>
      <xdr:grpSpPr>
        <a:xfrm>
          <a:off x="200025" y="95250"/>
          <a:ext cx="3600450" cy="297815"/>
          <a:chOff x="171449" y="152400"/>
          <a:chExt cx="13657124" cy="164465"/>
        </a:xfrm>
      </xdr:grpSpPr>
      <xdr:sp macro="" textlink="">
        <xdr:nvSpPr>
          <xdr:cNvPr id="3" name="Rectangle 38" title="Graphisme de pied de page court">
            <a:extLst>
              <a:ext uri="{FF2B5EF4-FFF2-40B4-BE49-F238E27FC236}">
                <a16:creationId xmlns:a16="http://schemas.microsoft.com/office/drawing/2014/main" id="{CEA0A24D-E3B8-4923-9A58-7BF836F92AAC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 rtl="0">
              <a:spcBef>
                <a:spcPts val="0"/>
              </a:spcBef>
              <a:spcAft>
                <a:spcPts val="0"/>
              </a:spcAft>
            </a:pPr>
            <a:r>
              <a:rPr lang="fr" sz="2500" b="1">
                <a:solidFill>
                  <a:srgbClr val="000000"/>
                </a:solidFill>
                <a:effectLst/>
                <a:latin typeface="Calibri" panose="020F0502020204030204" pitchFamily="34" charset="0"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e 45">
            <a:extLst>
              <a:ext uri="{FF2B5EF4-FFF2-40B4-BE49-F238E27FC236}">
                <a16:creationId xmlns:a16="http://schemas.microsoft.com/office/drawing/2014/main" id="{D2230B6D-5C15-4522-8C86-2F858AC55C8F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5" name="Rectangle 39">
              <a:extLst>
                <a:ext uri="{FF2B5EF4-FFF2-40B4-BE49-F238E27FC236}">
                  <a16:creationId xmlns:a16="http://schemas.microsoft.com/office/drawing/2014/main" id="{198D5BE4-F321-4095-B94F-89EDA039D266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6F398A55-AD2E-48AA-9C04-577F7DD11ED8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DE41E79C-2FD5-4796-A48A-C3229AC7959D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529C6FD4-2774-4932-BE43-B2FD6CB2F1F0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9" name="Rectangle 43">
              <a:extLst>
                <a:ext uri="{FF2B5EF4-FFF2-40B4-BE49-F238E27FC236}">
                  <a16:creationId xmlns:a16="http://schemas.microsoft.com/office/drawing/2014/main" id="{FFDA2A41-6387-4FA8-8836-ED5A58475777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cuments\COACHING\MASTERCLASS\STRATEGIE,%20SE%20LANCER%20ET%20PILOTER\Suivi%20des%20ventes%20Fac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des ventes Fach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20.884781712964" createdVersion="7" refreshedVersion="8" minRefreshableVersion="3" recordCount="15" xr:uid="{38DE5FF0-21DA-4A8D-9104-207B5AE13944}">
  <cacheSource type="worksheet">
    <worksheetSource name="FacturesPrincipal"/>
  </cacheSource>
  <cacheFields count="13">
    <cacheField name="N° de facture" numFmtId="49">
      <sharedItems/>
    </cacheField>
    <cacheField name="Client" numFmtId="0">
      <sharedItems containsBlank="1" count="25">
        <s v="Client1"/>
        <s v="Client4"/>
        <s v="Client5"/>
        <s v="Client10"/>
        <s v="Client9"/>
        <s v="Client12"/>
        <s v="Client Ponctuel"/>
        <s v="Client14"/>
        <s v="Client3"/>
        <s v="Client7"/>
        <s v="Client13"/>
        <s v="Marème Soda" u="1"/>
        <s v="Fatima" u="1"/>
        <s v="Mr Ba" u="1"/>
        <s v="Barbie" u="1"/>
        <s v="Khayar" u="1"/>
        <s v="Elage" u="1"/>
        <s v="Dr Seck" u="1"/>
        <s v="Mme Guèye" u="1"/>
        <s v="Amina Paris" u="1"/>
        <s v="Fabi" u="1"/>
        <s v="Mama Fall" u="1"/>
        <s v="Merry Dieng" u="1"/>
        <s v="Awa Cheikh" u="1"/>
        <m u="1"/>
      </sharedItems>
    </cacheField>
    <cacheField name="Date de facturation" numFmtId="14">
      <sharedItems containsSemiMixedTypes="0" containsNonDate="0" containsDate="1" containsString="0" minDate="2022-04-19T00:00:00" maxDate="2025-03-04T00:00:00" count="15">
        <d v="2024-04-19T00:00:00"/>
        <d v="2024-04-20T00:00:00"/>
        <d v="2024-04-21T00:00:00"/>
        <d v="2025-01-22T00:00:00"/>
        <d v="2025-01-23T00:00:00"/>
        <d v="2025-02-24T00:00:00"/>
        <d v="2025-02-25T00:00:00"/>
        <d v="2025-02-26T00:00:00"/>
        <d v="2025-03-03T00:00:00"/>
        <d v="2025-03-02T00:00:00"/>
        <d v="2025-01-29T00:00:00"/>
        <d v="2022-04-19T00:00:00" u="1"/>
        <d v="2022-04-20T00:00:00" u="1"/>
        <d v="2022-04-21T00:00:00" u="1"/>
        <d v="2022-04-22T00:00:00" u="1"/>
      </sharedItems>
    </cacheField>
    <cacheField name="Article" numFmtId="0">
      <sharedItems containsBlank="1" count="9">
        <s v="Robe"/>
        <s v="Deux pièces"/>
        <s v="Chemise"/>
        <s v="Couture"/>
        <s v="Trois pièces"/>
        <s v="Tunique"/>
        <m u="1"/>
        <s v="Taille Basse" u="1"/>
        <s v="Anango" u="1"/>
      </sharedItems>
    </cacheField>
    <cacheField name="Qté" numFmtId="1">
      <sharedItems containsSemiMixedTypes="0" containsString="0" containsNumber="1" containsInteger="1" minValue="1" maxValue="2"/>
    </cacheField>
    <cacheField name="Prix Unitaire" numFmtId="41">
      <sharedItems containsSemiMixedTypes="0" containsString="0" containsNumber="1" containsInteger="1" minValue="9000" maxValue="132000"/>
    </cacheField>
    <cacheField name="Total à payer" numFmtId="41">
      <sharedItems containsSemiMixedTypes="0" containsString="0" containsNumber="1" containsInteger="1" minValue="17000" maxValue="132000"/>
    </cacheField>
    <cacheField name="Payé" numFmtId="41">
      <sharedItems containsString="0" containsBlank="1" containsNumber="1" containsInteger="1" minValue="10000" maxValue="85000"/>
    </cacheField>
    <cacheField name="Restant" numFmtId="41">
      <sharedItems containsSemiMixedTypes="0" containsString="0" containsNumber="1" containsInteger="1" minValue="0" maxValue="82000"/>
    </cacheField>
    <cacheField name="Frais Produit" numFmtId="41">
      <sharedItems containsSemiMixedTypes="0" containsString="0" containsNumber="1" containsInteger="1" minValue="5000" maxValue="132000"/>
    </cacheField>
    <cacheField name="Bénéfice" numFmtId="41">
      <sharedItems containsSemiMixedTypes="0" containsString="0" containsNumber="1" containsInteger="1" minValue="0" maxValue="55000"/>
    </cacheField>
    <cacheField name="Bénéfice perçu" numFmtId="41">
      <sharedItems containsSemiMixedTypes="0" containsString="0" containsNumber="1" containsInteger="1" minValue="-82000" maxValue="55000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 pivotCacheId="129427158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20.88478252315" createdVersion="7" refreshedVersion="8" minRefreshableVersion="3" recordCount="20" xr:uid="{D036D2E0-C5E9-4D59-BDBF-98A3662D735B}">
  <cacheSource type="worksheet">
    <worksheetSource name="FacturesPrincipal9"/>
  </cacheSource>
  <cacheFields count="5">
    <cacheField name="N°" numFmtId="49">
      <sharedItems/>
    </cacheField>
    <cacheField name="Catégorie" numFmtId="0">
      <sharedItems containsBlank="1" count="7">
        <s v="Mercerie"/>
        <s v="Transport"/>
        <s v="Electricité"/>
        <s v="Divers"/>
        <s v="Livraison"/>
        <s v="Tontine"/>
        <m u="1"/>
      </sharedItems>
    </cacheField>
    <cacheField name="Date" numFmtId="14">
      <sharedItems containsSemiMixedTypes="0" containsNonDate="0" containsDate="1" containsString="0" minDate="2022-04-20T00:00:00" maxDate="2025-03-06T00:00:00" count="14">
        <d v="2025-01-20T00:00:00"/>
        <d v="2025-02-20T00:00:00"/>
        <d v="2025-01-18T00:00:00"/>
        <d v="2025-01-22T00:00:00"/>
        <d v="2025-02-25T00:00:00"/>
        <d v="2025-02-21T00:00:00"/>
        <d v="2025-03-02T00:00:00"/>
        <d v="2025-03-04T00:00:00"/>
        <d v="2025-03-05T00:00:00"/>
        <d v="2024-04-21T00:00:00"/>
        <d v="2024-04-22T00:00:00"/>
        <d v="2022-04-20T00:00:00" u="1"/>
        <d v="2022-04-21T00:00:00" u="1"/>
        <d v="2022-04-22T00:00:00" u="1"/>
      </sharedItems>
    </cacheField>
    <cacheField name="Montant" numFmtId="41">
      <sharedItems containsSemiMixedTypes="0" containsString="0" containsNumber="1" containsInteger="1" minValue="1000" maxValue="12000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9271991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000001"/>
    <x v="0"/>
    <x v="0"/>
    <x v="0"/>
    <n v="1"/>
    <n v="35000"/>
    <n v="35000"/>
    <n v="35000"/>
    <n v="0"/>
    <n v="21500"/>
    <n v="13500"/>
    <n v="13500"/>
    <s v="Robe simple"/>
  </r>
  <r>
    <s v="000002"/>
    <x v="1"/>
    <x v="0"/>
    <x v="0"/>
    <n v="1"/>
    <n v="45000"/>
    <n v="45000"/>
    <n v="45000"/>
    <n v="0"/>
    <n v="21500"/>
    <n v="23500"/>
    <n v="23500"/>
    <s v="Robe simple"/>
  </r>
  <r>
    <s v="000003"/>
    <x v="2"/>
    <x v="1"/>
    <x v="1"/>
    <n v="1"/>
    <n v="85000"/>
    <n v="85000"/>
    <n v="85000"/>
    <n v="0"/>
    <n v="43000"/>
    <n v="42000"/>
    <n v="42000"/>
    <s v="Deux pièces homme"/>
  </r>
  <r>
    <s v="000004"/>
    <x v="3"/>
    <x v="1"/>
    <x v="1"/>
    <n v="1"/>
    <n v="80000"/>
    <n v="80000"/>
    <n v="80000"/>
    <n v="0"/>
    <n v="47000"/>
    <n v="33000"/>
    <n v="33000"/>
    <s v="Deux pièces homme Daminé"/>
  </r>
  <r>
    <s v="000005"/>
    <x v="0"/>
    <x v="1"/>
    <x v="2"/>
    <n v="1"/>
    <n v="20000"/>
    <n v="20000"/>
    <n v="20000"/>
    <n v="0"/>
    <n v="7000"/>
    <n v="13000"/>
    <n v="13000"/>
    <m/>
  </r>
  <r>
    <s v="000006"/>
    <x v="4"/>
    <x v="1"/>
    <x v="3"/>
    <n v="1"/>
    <n v="24000"/>
    <n v="24000"/>
    <n v="10000"/>
    <n v="14000"/>
    <n v="14000"/>
    <n v="10000"/>
    <n v="-4000"/>
    <m/>
  </r>
  <r>
    <s v="000007"/>
    <x v="3"/>
    <x v="2"/>
    <x v="4"/>
    <n v="1"/>
    <n v="60000"/>
    <n v="60000"/>
    <m/>
    <n v="60000"/>
    <n v="22000"/>
    <n v="38000"/>
    <n v="-22000"/>
    <m/>
  </r>
  <r>
    <s v="000008"/>
    <x v="1"/>
    <x v="3"/>
    <x v="1"/>
    <n v="1"/>
    <n v="35000"/>
    <n v="35000"/>
    <m/>
    <n v="35000"/>
    <n v="13000"/>
    <n v="22000"/>
    <n v="-13000"/>
    <s v="Ensemble beige foncé"/>
  </r>
  <r>
    <s v="000009"/>
    <x v="5"/>
    <x v="4"/>
    <x v="5"/>
    <n v="1"/>
    <n v="80000"/>
    <n v="80000"/>
    <n v="80000"/>
    <n v="0"/>
    <n v="25000"/>
    <n v="55000"/>
    <n v="55000"/>
    <s v="Robe dentelle Mauve"/>
  </r>
  <r>
    <s v="000010"/>
    <x v="6"/>
    <x v="5"/>
    <x v="1"/>
    <n v="1"/>
    <n v="35000"/>
    <n v="35000"/>
    <n v="20000"/>
    <n v="15000"/>
    <n v="13000"/>
    <n v="22000"/>
    <n v="7000"/>
    <s v="Deux pièces gris"/>
  </r>
  <r>
    <s v="000011"/>
    <x v="2"/>
    <x v="6"/>
    <x v="0"/>
    <n v="2"/>
    <n v="9000"/>
    <n v="18000"/>
    <n v="18000"/>
    <n v="0"/>
    <n v="5000"/>
    <n v="13000"/>
    <n v="13000"/>
    <m/>
  </r>
  <r>
    <s v="000012"/>
    <x v="7"/>
    <x v="7"/>
    <x v="0"/>
    <n v="1"/>
    <n v="45000"/>
    <n v="45000"/>
    <m/>
    <n v="45000"/>
    <n v="21500"/>
    <n v="23500"/>
    <n v="-21500"/>
    <m/>
  </r>
  <r>
    <s v="000013"/>
    <x v="8"/>
    <x v="8"/>
    <x v="0"/>
    <n v="1"/>
    <n v="45000"/>
    <n v="45000"/>
    <n v="25000"/>
    <n v="20000"/>
    <n v="21000"/>
    <n v="24000"/>
    <n v="4000"/>
    <m/>
  </r>
  <r>
    <s v="000014"/>
    <x v="9"/>
    <x v="9"/>
    <x v="3"/>
    <n v="1"/>
    <n v="17000"/>
    <n v="17000"/>
    <n v="17000"/>
    <n v="0"/>
    <n v="15000"/>
    <n v="2000"/>
    <n v="2000"/>
    <m/>
  </r>
  <r>
    <s v="000015"/>
    <x v="10"/>
    <x v="10"/>
    <x v="3"/>
    <n v="1"/>
    <n v="132000"/>
    <n v="132000"/>
    <n v="50000"/>
    <n v="82000"/>
    <n v="132000"/>
    <n v="0"/>
    <n v="-82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000001"/>
    <x v="0"/>
    <x v="0"/>
    <n v="12000"/>
    <m/>
  </r>
  <r>
    <s v="000002"/>
    <x v="0"/>
    <x v="1"/>
    <n v="1750"/>
    <m/>
  </r>
  <r>
    <s v="000003"/>
    <x v="0"/>
    <x v="2"/>
    <n v="1800"/>
    <m/>
  </r>
  <r>
    <s v="000004"/>
    <x v="1"/>
    <x v="3"/>
    <n v="5000"/>
    <m/>
  </r>
  <r>
    <s v="000005"/>
    <x v="0"/>
    <x v="4"/>
    <n v="6400"/>
    <m/>
  </r>
  <r>
    <s v="000006"/>
    <x v="0"/>
    <x v="5"/>
    <n v="5600"/>
    <m/>
  </r>
  <r>
    <s v="000007"/>
    <x v="0"/>
    <x v="6"/>
    <n v="4900"/>
    <m/>
  </r>
  <r>
    <s v="000008"/>
    <x v="0"/>
    <x v="7"/>
    <n v="5600"/>
    <m/>
  </r>
  <r>
    <s v="000009"/>
    <x v="0"/>
    <x v="8"/>
    <n v="6400"/>
    <m/>
  </r>
  <r>
    <s v="000010"/>
    <x v="2"/>
    <x v="9"/>
    <n v="10000"/>
    <m/>
  </r>
  <r>
    <s v="000011"/>
    <x v="2"/>
    <x v="9"/>
    <n v="10000"/>
    <m/>
  </r>
  <r>
    <s v="000012"/>
    <x v="3"/>
    <x v="9"/>
    <n v="5000"/>
    <m/>
  </r>
  <r>
    <s v="000013"/>
    <x v="1"/>
    <x v="9"/>
    <n v="5000"/>
    <m/>
  </r>
  <r>
    <s v="000014"/>
    <x v="4"/>
    <x v="9"/>
    <n v="5000"/>
    <m/>
  </r>
  <r>
    <s v="000015"/>
    <x v="3"/>
    <x v="10"/>
    <n v="7500"/>
    <m/>
  </r>
  <r>
    <s v="000016"/>
    <x v="3"/>
    <x v="10"/>
    <n v="3500"/>
    <m/>
  </r>
  <r>
    <s v="000017"/>
    <x v="0"/>
    <x v="10"/>
    <n v="1000"/>
    <m/>
  </r>
  <r>
    <s v="000018"/>
    <x v="5"/>
    <x v="10"/>
    <n v="120000"/>
    <m/>
  </r>
  <r>
    <s v="000019"/>
    <x v="3"/>
    <x v="10"/>
    <n v="10000"/>
    <m/>
  </r>
  <r>
    <s v="000020"/>
    <x v="3"/>
    <x v="10"/>
    <n v="2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FBAEF-C2EF-4A53-83DD-41B7D5E583C5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rowHeaderCaption="Dépenses">
  <location ref="A40:B68" firstHeaderRow="1" firstDataRow="1" firstDataCol="1"/>
  <pivotFields count="5">
    <pivotField showAll="0"/>
    <pivotField axis="axisRow" showAll="0">
      <items count="8">
        <item x="3"/>
        <item x="2"/>
        <item x="4"/>
        <item x="0"/>
        <item x="5"/>
        <item x="1"/>
        <item m="1" x="6"/>
        <item t="default"/>
      </items>
    </pivotField>
    <pivotField axis="axisRow" numFmtId="14" showAll="0">
      <items count="15">
        <item m="1" x="11"/>
        <item m="1" x="12"/>
        <item m="1" x="13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2">
    <field x="2"/>
    <field x="1"/>
  </rowFields>
  <rowItems count="28">
    <i>
      <x v="3"/>
    </i>
    <i r="1">
      <x v="3"/>
    </i>
    <i>
      <x v="4"/>
    </i>
    <i r="1">
      <x v="3"/>
    </i>
    <i>
      <x v="5"/>
    </i>
    <i r="1">
      <x v="3"/>
    </i>
    <i>
      <x v="6"/>
    </i>
    <i r="1">
      <x v="5"/>
    </i>
    <i>
      <x v="7"/>
    </i>
    <i r="1">
      <x v="3"/>
    </i>
    <i>
      <x v="8"/>
    </i>
    <i r="1">
      <x v="3"/>
    </i>
    <i>
      <x v="9"/>
    </i>
    <i r="1">
      <x v="3"/>
    </i>
    <i>
      <x v="10"/>
    </i>
    <i r="1">
      <x v="3"/>
    </i>
    <i>
      <x v="11"/>
    </i>
    <i r="1">
      <x v="3"/>
    </i>
    <i>
      <x v="12"/>
    </i>
    <i r="1">
      <x/>
    </i>
    <i r="1">
      <x v="1"/>
    </i>
    <i r="1">
      <x v="2"/>
    </i>
    <i r="1">
      <x v="5"/>
    </i>
    <i>
      <x v="13"/>
    </i>
    <i r="1">
      <x/>
    </i>
    <i r="1">
      <x v="3"/>
    </i>
    <i r="1">
      <x v="4"/>
    </i>
    <i t="grand">
      <x/>
    </i>
  </rowItems>
  <colItems count="1">
    <i/>
  </colItems>
  <dataFields count="1">
    <dataField name="Montant Total" fld="3" baseField="0" baseItem="0" numFmtId="41"/>
  </dataFields>
  <formats count="10"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2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2">
          <reference field="1" count="2">
            <x v="3"/>
            <x v="5"/>
          </reference>
          <reference field="2" count="1" selected="0">
            <x v="0"/>
          </reference>
        </references>
      </pivotArea>
    </format>
    <format dxfId="84">
      <pivotArea dataOnly="0" labelOnly="1" fieldPosition="0">
        <references count="2">
          <reference field="1" count="5">
            <x v="0"/>
            <x v="1"/>
            <x v="2"/>
            <x v="3"/>
            <x v="5"/>
          </reference>
          <reference field="2" count="1" selected="0">
            <x v="1"/>
          </reference>
        </references>
      </pivotArea>
    </format>
    <format dxfId="83">
      <pivotArea dataOnly="0" labelOnly="1" fieldPosition="0">
        <references count="2">
          <reference field="1" count="3">
            <x v="0"/>
            <x v="3"/>
            <x v="4"/>
          </reference>
          <reference field="2" count="1" selected="0">
            <x v="2"/>
          </reference>
        </references>
      </pivotArea>
    </format>
    <format dxfId="82">
      <pivotArea dataOnly="0" labelOnly="1" outline="0" axis="axisValues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AD8BB-D75D-40A5-94FA-AF9A564DD642}" name="Tableau croisé dynamique2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7" indent="0" outline="1" outlineData="1" multipleFieldFilters="0" chartFormat="8" rowHeaderCaption="Articles">
  <location ref="I4:K11" firstHeaderRow="0" firstDataRow="1" firstDataCol="1"/>
  <pivotFields count="13">
    <pivotField showAll="0"/>
    <pivotField showAll="0">
      <items count="26">
        <item m="1" x="19"/>
        <item m="1" x="23"/>
        <item m="1" x="14"/>
        <item x="6"/>
        <item x="0"/>
        <item x="3"/>
        <item x="5"/>
        <item x="10"/>
        <item x="7"/>
        <item x="8"/>
        <item x="1"/>
        <item x="2"/>
        <item x="9"/>
        <item x="4"/>
        <item m="1" x="17"/>
        <item m="1" x="16"/>
        <item m="1" x="20"/>
        <item m="1" x="12"/>
        <item m="1" x="15"/>
        <item m="1" x="21"/>
        <item m="1" x="11"/>
        <item m="1" x="22"/>
        <item m="1" x="18"/>
        <item m="1" x="13"/>
        <item m="1" x="24"/>
        <item t="default"/>
      </items>
    </pivotField>
    <pivotField numFmtId="14" showAll="0">
      <items count="12">
        <item x="0"/>
        <item x="1"/>
        <item x="2"/>
        <item x="3"/>
        <item x="4"/>
        <item x="10"/>
        <item x="5"/>
        <item x="6"/>
        <item x="7"/>
        <item x="9"/>
        <item x="8"/>
        <item t="default"/>
      </items>
    </pivotField>
    <pivotField axis="axisRow" showAll="0">
      <items count="10">
        <item m="1" x="8"/>
        <item m="1" x="7"/>
        <item m="1" x="6"/>
        <item x="2"/>
        <item x="0"/>
        <item x="1"/>
        <item x="3"/>
        <item x="4"/>
        <item x="5"/>
        <item t="default"/>
      </items>
    </pivotField>
    <pivotField showAll="0"/>
    <pivotField showAll="0"/>
    <pivotField numFmtId="41" showAll="0"/>
    <pivotField showAll="0"/>
    <pivotField numFmtId="41" showAll="0"/>
    <pivotField dataField="1" numFmtId="41" showAll="0"/>
    <pivotField dataField="1" numFmtId="41" showAll="0"/>
    <pivotField numFmtId="41" showAll="0"/>
    <pivotField showAll="0"/>
  </pivotFields>
  <rowFields count="1">
    <field x="3"/>
  </rowFields>
  <rowItems count="7"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Frais" fld="9" baseField="0" baseItem="0"/>
    <dataField name="Gains" fld="10" baseField="0" baseItem="0"/>
  </dataFields>
  <formats count="7">
    <format dxfId="98">
      <pivotArea outline="0" collapsedLevelsAreSubtotals="1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AB546-C5D2-41E1-A512-81A95A5E40A8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7" indent="0" outline="1" outlineData="1" multipleFieldFilters="0" chartFormat="12" rowHeaderCaption="Clients">
  <location ref="A4:D16" firstHeaderRow="0" firstDataRow="1" firstDataCol="1"/>
  <pivotFields count="13">
    <pivotField showAll="0"/>
    <pivotField axis="axisRow" showAll="0">
      <items count="26">
        <item m="1" x="14"/>
        <item m="1" x="11"/>
        <item m="1" x="24"/>
        <item m="1" x="17"/>
        <item m="1" x="12"/>
        <item m="1" x="13"/>
        <item m="1" x="15"/>
        <item m="1" x="16"/>
        <item m="1" x="18"/>
        <item x="6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7"/>
        <item x="8"/>
        <item x="9"/>
        <item x="10"/>
        <item t="default"/>
      </items>
    </pivotField>
    <pivotField numFmtId="14" showAll="0">
      <items count="12">
        <item x="0"/>
        <item x="1"/>
        <item x="2"/>
        <item x="3"/>
        <item x="4"/>
        <item x="10"/>
        <item x="5"/>
        <item x="6"/>
        <item x="7"/>
        <item x="9"/>
        <item x="8"/>
        <item t="default"/>
      </items>
    </pivotField>
    <pivotField showAll="0">
      <items count="10">
        <item m="1" x="8"/>
        <item x="2"/>
        <item x="3"/>
        <item x="1"/>
        <item x="0"/>
        <item m="1" x="7"/>
        <item x="4"/>
        <item x="5"/>
        <item m="1" x="6"/>
        <item t="default"/>
      </items>
    </pivotField>
    <pivotField showAll="0"/>
    <pivotField showAll="0"/>
    <pivotField dataField="1" numFmtId="41" showAll="0"/>
    <pivotField dataField="1" showAll="0"/>
    <pivotField dataField="1" numFmtId="41" showAll="0"/>
    <pivotField numFmtId="41" showAll="0"/>
    <pivotField numFmtId="41" showAll="0"/>
    <pivotField numFmtId="41" showAll="0"/>
    <pivotField showAll="0"/>
  </pivotFields>
  <rowFields count="1">
    <field x="1"/>
  </rowFields>
  <rowItems count="12">
    <i>
      <x v="9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mmandés" fld="6" baseField="1" baseItem="0"/>
    <dataField name="Payés" fld="7" baseField="1" baseItem="0"/>
    <dataField name="Due" fld="8" baseField="1" baseItem="0"/>
  </dataFields>
  <formats count="7">
    <format dxfId="105">
      <pivotArea outline="0" collapsedLevelsAreSubtotals="1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769E7-5C28-4671-A06E-C8712DF9F96C}" name="Tableau croisé dynamique8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7" indent="0" outline="1" outlineData="1" multipleFieldFilters="0" chartFormat="11" rowHeaderCaption="Date">
  <location ref="F57:I69" firstHeaderRow="0" firstDataRow="1" firstDataCol="1"/>
  <pivotFields count="13">
    <pivotField showAll="0"/>
    <pivotField showAll="0">
      <items count="26">
        <item m="1" x="19"/>
        <item m="1" x="23"/>
        <item m="1" x="14"/>
        <item x="6"/>
        <item x="0"/>
        <item x="3"/>
        <item x="5"/>
        <item x="10"/>
        <item x="7"/>
        <item x="8"/>
        <item x="1"/>
        <item x="2"/>
        <item x="9"/>
        <item x="4"/>
        <item m="1" x="17"/>
        <item m="1" x="16"/>
        <item m="1" x="20"/>
        <item m="1" x="12"/>
        <item m="1" x="15"/>
        <item m="1" x="21"/>
        <item m="1" x="11"/>
        <item m="1" x="22"/>
        <item m="1" x="18"/>
        <item m="1" x="13"/>
        <item m="1" x="24"/>
        <item t="default"/>
      </items>
    </pivotField>
    <pivotField axis="axisRow" showAll="0">
      <items count="16">
        <item m="1" x="11"/>
        <item m="1" x="12"/>
        <item m="1" x="13"/>
        <item m="1" x="14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0">
        <item m="1" x="8"/>
        <item x="2"/>
        <item x="3"/>
        <item x="1"/>
        <item x="0"/>
        <item m="1" x="7"/>
        <item x="4"/>
        <item x="5"/>
        <item m="1" x="6"/>
        <item t="default"/>
      </items>
    </pivotField>
    <pivotField showAll="0"/>
    <pivotField showAll="0"/>
    <pivotField dataField="1" numFmtId="41" showAll="0"/>
    <pivotField showAll="0"/>
    <pivotField numFmtId="41" showAll="0"/>
    <pivotField numFmtId="41" showAll="0"/>
    <pivotField dataField="1" numFmtId="41" showAll="0"/>
    <pivotField dataField="1" numFmtId="41" showAll="0"/>
    <pivotField showAll="0"/>
  </pivotFields>
  <rowFields count="1">
    <field x="2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es" fld="6" baseField="0" baseItem="0" numFmtId="41"/>
    <dataField name="Bénéfices" fld="10" baseField="0" baseItem="0"/>
    <dataField name="Gains perçus" fld="11" baseField="0" baseItem="0"/>
  </dataFields>
  <formats count="7">
    <format dxfId="112">
      <pivotArea outline="0" collapsedLevelsAreSubtotals="1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2" type="button" dataOnly="0" labelOnly="1" outline="0" axis="axisRow" fieldPosition="0"/>
    </format>
    <format dxfId="108">
      <pivotArea dataOnly="0" labelOnly="1" fieldPosition="0">
        <references count="1">
          <reference field="2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6FF75-7F30-4DF0-BCFF-6814244951B9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chartFormat="15" rowHeaderCaption="Dépense">
  <location ref="D40:E47" firstHeaderRow="1" firstDataRow="1" firstDataCol="1"/>
  <pivotFields count="5">
    <pivotField showAll="0"/>
    <pivotField axis="axisRow" showAll="0">
      <items count="8">
        <item x="3"/>
        <item x="2"/>
        <item x="4"/>
        <item x="0"/>
        <item x="5"/>
        <item x="1"/>
        <item m="1" x="6"/>
        <item t="default"/>
      </items>
    </pivotField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" fld="3" baseField="0" baseItem="0" numFmtId="41"/>
  </dataFields>
  <formats count="7">
    <format dxfId="119">
      <pivotArea outline="0" collapsedLevelsAreSubtotals="1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" type="button" dataOnly="0" labelOnly="1" outline="0" axis="axisRow" fieldPosition="0"/>
    </format>
    <format dxfId="115">
      <pivotArea dataOnly="0" labelOnly="1" fieldPosition="0">
        <references count="1">
          <reference field="1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rticle" xr10:uid="{58171DF7-765D-4CCA-9834-550D98AB0604}" sourceName="Article">
  <pivotTables>
    <pivotTable tabId="7" name="Tableau croisé dynamique8"/>
    <pivotTable tabId="7" name="Tableau croisé dynamique1"/>
    <pivotTable tabId="7" name="Tableau croisé dynamique2"/>
  </pivotTables>
  <data>
    <tabular pivotCacheId="1294271582">
      <items count="9">
        <i x="2" s="1"/>
        <i x="3" s="1"/>
        <i x="1" s="1"/>
        <i x="0" s="1"/>
        <i x="4" s="1"/>
        <i x="5" s="1"/>
        <i x="8" s="1" nd="1"/>
        <i x="7" s="1" nd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008F634C-640C-4659-B802-3E64BFFC470A}" sourceName="Catégorie">
  <pivotTables>
    <pivotTable tabId="7" name="Tableau croisé dynamique7"/>
    <pivotTable tabId="7" name="Tableau croisé dynamique5"/>
  </pivotTables>
  <data>
    <tabular pivotCacheId="927199158">
      <items count="7">
        <i x="3" s="1"/>
        <i x="2" s="1"/>
        <i x="4" s="1"/>
        <i x="0" s="1"/>
        <i x="5" s="1"/>
        <i x="1" s="1"/>
        <i x="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lient" xr10:uid="{8ABB2508-17E5-494B-AC3C-27A1B6F6E0BB}" sourceName="Client">
  <pivotTables>
    <pivotTable tabId="7" name="Tableau croisé dynamique1"/>
    <pivotTable tabId="7" name="Tableau croisé dynamique2"/>
    <pivotTable tabId="7" name="Tableau croisé dynamique8"/>
  </pivotTables>
  <data>
    <tabular pivotCacheId="1294271582">
      <items count="25">
        <i x="6" s="1"/>
        <i x="0" s="1"/>
        <i x="3" s="1"/>
        <i x="5" s="1"/>
        <i x="10" s="1"/>
        <i x="7" s="1"/>
        <i x="8" s="1"/>
        <i x="1" s="1"/>
        <i x="2" s="1"/>
        <i x="9" s="1"/>
        <i x="4" s="1"/>
        <i x="19" s="1" nd="1"/>
        <i x="23" s="1" nd="1"/>
        <i x="14" s="1" nd="1"/>
        <i x="17" s="1" nd="1"/>
        <i x="16" s="1" nd="1"/>
        <i x="20" s="1" nd="1"/>
        <i x="12" s="1" nd="1"/>
        <i x="15" s="1" nd="1"/>
        <i x="21" s="1" nd="1"/>
        <i x="11" s="1" nd="1"/>
        <i x="22" s="1" nd="1"/>
        <i x="18" s="1" nd="1"/>
        <i x="13" s="1" nd="1"/>
        <i x="2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cle" xr10:uid="{89358996-342B-4626-A27C-E56E84A28CE2}" cache="Segment_Article" caption="Articles" columnCount="2" style="SlicerStyleLight5" rowHeight="241300"/>
  <slicer name="Catégorie" xr10:uid="{5A0C5F97-C2E1-4879-9BAD-D6476212AD36}" cache="Segment_Catégorie" caption="Catégorie Dépenses" columnCount="3" style="SlicerStyleLight5" rowHeight="241300"/>
  <slicer name="Client" xr10:uid="{E62867B3-FE43-4AF4-8C0D-4B7869778D0D}" cache="Segment_Client" caption="Client" columnCount="2" style="SlicerStyleLight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C9A12C-D71D-45ED-8037-2DEF9249DA76}" name="FacturesPrincipal" displayName="FacturesPrincipal" ref="B3:N19" totalsRowCount="1" headerRowDxfId="81" totalsRowDxfId="80">
  <autoFilter ref="B3:N18" xr:uid="{82C9A12C-D71D-45ED-8037-2DEF9249DA76}"/>
  <tableColumns count="13">
    <tableColumn id="1" xr3:uid="{24D2124F-80BD-4B18-9E16-BF677188442D}" name="N° de facture" totalsRowLabel="Totaux" dataDxfId="79" totalsRowDxfId="78"/>
    <tableColumn id="2" xr3:uid="{610C86E2-7BAB-4D57-A133-5C9377512D22}" name="Client" totalsRowFunction="custom" dataDxfId="77" totalsRowDxfId="76">
      <totalsRowFormula>"Total des ventes: "&amp;SUBTOTAL(103,FacturesPrincipal[N° de facture])</totalsRowFormula>
    </tableColumn>
    <tableColumn id="3" xr3:uid="{6B33F9E5-2C34-48F3-A747-8C0CE8818974}" name="Date de facturation" dataDxfId="75" totalsRowDxfId="74">
      <calculatedColumnFormula>TODAY()</calculatedColumnFormula>
    </tableColumn>
    <tableColumn id="4" xr3:uid="{51CE070E-0403-4CF8-935A-8B81C394E401}" name="Article" dataDxfId="73" totalsRowDxfId="72"/>
    <tableColumn id="8" xr3:uid="{D7D3638F-659A-4710-8130-357993316403}" name="Qté" dataDxfId="71" totalsRowDxfId="70"/>
    <tableColumn id="9" xr3:uid="{1A52FCE5-24AC-4066-B201-0E85878420DB}" name="Prix Unitaire" dataDxfId="69" totalsRowDxfId="68"/>
    <tableColumn id="6" xr3:uid="{FF1D5888-0E79-48CE-94DD-4FC75FC25906}" name="Total à payer" totalsRowFunction="sum" dataDxfId="67" totalsRowDxfId="66">
      <calculatedColumnFormula>FacturesPrincipal[[#This Row],[Qté]]*FacturesPrincipal[[#This Row],[Prix Unitaire]]</calculatedColumnFormula>
    </tableColumn>
    <tableColumn id="11" xr3:uid="{9CA4B66F-019D-4F1C-A4AE-7000BBA68DDF}" name="Payé" totalsRowFunction="sum" dataDxfId="65" totalsRowDxfId="64"/>
    <tableColumn id="12" xr3:uid="{AD89ED9A-5CD9-4015-8E95-015A01D0F3A7}" name="Restant" totalsRowFunction="sum" dataDxfId="63" totalsRowDxfId="62">
      <calculatedColumnFormula>FacturesPrincipal[[#This Row],[Total à payer]]-FacturesPrincipal[[#This Row],[Payé]]</calculatedColumnFormula>
    </tableColumn>
    <tableColumn id="7" xr3:uid="{510A8C4F-5341-4461-9B25-287294040D36}" name="Frais Produit" totalsRowFunction="sum" dataDxfId="61" totalsRowDxfId="60">
      <calculatedColumnFormula>SUMIF([1]!DétailsFacture[N° de facture],"="&amp;FacturesPrincipal[[#This Row],[N° de facture]],[1]!DétailsFacture[Total])</calculatedColumnFormula>
    </tableColumn>
    <tableColumn id="10" xr3:uid="{3EF79FDC-8B81-4CF3-9FC8-E024847F473B}" name="Bénéfice" totalsRowFunction="sum" dataDxfId="59" totalsRowDxfId="58">
      <calculatedColumnFormula>FacturesPrincipal[[#This Row],[Total à payer]]-FacturesPrincipal[[#This Row],[Frais Produit]]</calculatedColumnFormula>
    </tableColumn>
    <tableColumn id="13" xr3:uid="{C24D5F0D-ACA0-4307-A7F2-274FA02ED599}" name="Bénéfice perçu" totalsRowFunction="sum" dataDxfId="57" totalsRowDxfId="56">
      <calculatedColumnFormula>FacturesPrincipal[[#This Row],[Payé]]-FacturesPrincipal[[#This Row],[Frais Produit]]</calculatedColumnFormula>
    </tableColumn>
    <tableColumn id="5" xr3:uid="{75E8EB50-388E-43C5-A6C7-3335D80F161D}" name="Notes" dataDxfId="55" totalsRowDxfId="54"/>
  </tableColumns>
  <tableStyleInfo name="TableStyleMedium27" showFirstColumn="0" showLastColumn="0" showRowStripes="1" showColumnStripes="0"/>
  <extLst>
    <ext xmlns:x14="http://schemas.microsoft.com/office/spreadsheetml/2009/9/main" uri="{504A1905-F514-4f6f-8877-14C23A59335A}">
      <x14:table altTextSummary="Liste de factures avec numéro de facture, société, date de facture, description du projet, taux de taxation, autre, acompte, total détaillé, total de facture et note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9E1C5B-A6A0-44AB-AF4B-CCA2CAD0BDEE}" name="FacturesPrincipal9" displayName="FacturesPrincipal9" ref="B3:F24" totalsRowCount="1" headerRowDxfId="53" totalsRowDxfId="52">
  <autoFilter ref="B3:F23" xr:uid="{4F9E1C5B-A6A0-44AB-AF4B-CCA2CAD0BDEE}"/>
  <tableColumns count="5">
    <tableColumn id="1" xr3:uid="{DEF0A252-D247-4A59-AEC0-6B243F937F56}" name="N°" totalsRowLabel="Totaux" dataDxfId="51" totalsRowDxfId="50"/>
    <tableColumn id="2" xr3:uid="{7A43E8F6-762C-49BE-90D2-45DCE331F32C}" name="Catégorie" totalsRowFunction="custom" dataDxfId="49" totalsRowDxfId="48">
      <totalsRowFormula>"Total des ventes: "&amp;SUBTOTAL(103,FacturesPrincipal9[N°])</totalsRowFormula>
    </tableColumn>
    <tableColumn id="3" xr3:uid="{B2649DD4-B21D-4F6A-BD76-5B5CA1507477}" name="Date" dataDxfId="47" totalsRowDxfId="46">
      <calculatedColumnFormula>TODAY()</calculatedColumnFormula>
    </tableColumn>
    <tableColumn id="8" xr3:uid="{46CB45FB-C5C7-4CA6-905B-27AD5BCFAC61}" name="Montant" totalsRowFunction="sum" dataDxfId="45" totalsRowDxfId="44"/>
    <tableColumn id="5" xr3:uid="{2D89EFEF-068B-4337-BFD4-B260500EF5AD}" name="Notes" dataDxfId="43" totalsRowDxfId="42"/>
  </tableColumns>
  <tableStyleInfo name="TableStyleMedium27" showFirstColumn="0" showLastColumn="0" showRowStripes="1" showColumnStripes="0"/>
  <extLst>
    <ext xmlns:x14="http://schemas.microsoft.com/office/spreadsheetml/2009/9/main" uri="{504A1905-F514-4f6f-8877-14C23A59335A}">
      <x14:table altTextSummary="Liste de factures avec numéro de facture, société, date de facture, description du projet, taux de taxation, autre, acompte, total détaillé, total de facture et not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1D6BBD-1C3A-492A-87E5-BC36B5EE64B8}" name="Tableau9" displayName="Tableau9" ref="A1:E18" totalsRowShown="0" headerRowDxfId="41" dataDxfId="40">
  <autoFilter ref="A1:E18" xr:uid="{7F1D6BBD-1C3A-492A-87E5-BC36B5EE64B8}"/>
  <tableColumns count="5">
    <tableColumn id="1" xr3:uid="{A4BED6CC-89D9-4D93-A0F2-4269F7E63381}" name="Libellé" dataDxfId="39"/>
    <tableColumn id="2" xr3:uid="{92B3A367-C8C7-4CA1-88CA-C678FA64B558}" name="Catégorie" dataDxfId="38"/>
    <tableColumn id="3" xr3:uid="{2A53C2CC-8CEB-4798-BEEE-96210099303E}" name="Montant" dataDxfId="37"/>
    <tableColumn id="4" xr3:uid="{8339197D-1B16-4757-ABE5-0A309CC41CF3}" name="Fréquence" dataDxfId="36"/>
    <tableColumn id="5" xr3:uid="{59EE6FF7-ECFF-460B-9871-42FC9FC0B4CA}" name="Montant Mensuel" dataDxfId="35">
      <calculatedColumnFormula>IF(Tableau9[[#This Row],[Fréquence]]="Mensuel",Tableau9[[#This Row],[Montant]],IF(Tableau9[[#This Row],[Fréquence]]="Hebdomadaire",Tableau9[[#This Row],[Montant]]*4,Tableau9[[#This Row],[Montant]]*30))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ACE33-C738-41A1-BE3D-12C9156C0C47}" name="ListeClients" displayName="ListeClients" ref="B3:G19" totalsRowCount="1">
  <autoFilter ref="B3:G18" xr:uid="{98EACE33-C738-41A1-BE3D-12C9156C0C47}"/>
  <sortState xmlns:xlrd2="http://schemas.microsoft.com/office/spreadsheetml/2017/richdata2" ref="B4:G18">
    <sortCondition ref="C3:C18"/>
  </sortState>
  <tableColumns count="6">
    <tableColumn id="9" xr3:uid="{7A8F96D3-8676-4B28-BC53-9D0084B63647}" name="Rechercher" totalsRowLabel="Totaux" dataDxfId="34" totalsRowDxfId="33">
      <calculatedColumnFormula>C4&amp; " - "&amp;#REF!</calculatedColumnFormula>
    </tableColumn>
    <tableColumn id="1" xr3:uid="{96F6AA18-78C5-4352-AFB7-729BAAA8BF32}" name="Numéro " totalsRowFunction="custom" dataDxfId="32" totalsRowDxfId="31">
      <totalsRowFormula>"Total des clients: "&amp;SUBTOTAL(103,ListeClients[[Numéro ]])</totalsRowFormula>
    </tableColumn>
    <tableColumn id="3" xr3:uid="{67A89795-BE30-4EAF-92F9-F6BB248CB418}" name="Nom" totalsRowDxfId="30"/>
    <tableColumn id="4" xr3:uid="{A122BF1C-0E44-440D-ACB1-67129D967003}" name="Adresse" totalsRowDxfId="29"/>
    <tableColumn id="8" xr3:uid="{C1348419-3025-48E9-AD95-7D7705877E96}" name="Téléphone" dataDxfId="28" totalsRowDxfId="27"/>
    <tableColumn id="10" xr3:uid="{6BDEC4DA-65FB-4A6A-A40A-FA40B9982D6D}" name="Mesures" totalsRowDxfId="26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Summary="Liste des clients avec numéro de société, nom de société, nom de contact, adresse, ville, département, code postal, numéro de téléphone, adresse e-mail et télécopi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9A25E-DB86-460C-8713-869A157863FF}" name="ListeClients3" displayName="ListeClients3" ref="B3:G13" totalsRowCount="1">
  <autoFilter ref="B3:G12" xr:uid="{3979A25E-DB86-460C-8713-869A157863FF}"/>
  <sortState xmlns:xlrd2="http://schemas.microsoft.com/office/spreadsheetml/2017/richdata2" ref="B4:G12">
    <sortCondition ref="D3:D12"/>
  </sortState>
  <tableColumns count="6">
    <tableColumn id="9" xr3:uid="{949F20FB-743D-43EA-B19A-6919C05A012D}" name="Rechercher" totalsRowLabel="Totaux" dataDxfId="25" totalsRowDxfId="24">
      <calculatedColumnFormula>C4&amp; " - "&amp;#REF!</calculatedColumnFormula>
    </tableColumn>
    <tableColumn id="1" xr3:uid="{130B63A9-0FBC-422E-BE97-73390B9C0B39}" name="Numéro " totalsRowFunction="custom" dataDxfId="23" totalsRowDxfId="22">
      <totalsRowFormula>"Total des produits: "&amp;SUBTOTAL(103,ListeClients3[[Numéro ]])</totalsRowFormula>
    </tableColumn>
    <tableColumn id="3" xr3:uid="{C00C4D8D-6643-47D7-AF08-F9EFA6AD5B55}" name="Nom" totalsRowDxfId="21"/>
    <tableColumn id="4" xr3:uid="{83E7F469-5C45-4218-9D30-9DECF4365673}" name="Prix Standard" totalsRowDxfId="20"/>
    <tableColumn id="8" xr3:uid="{CCA4434C-47FC-4044-B0F4-16CEE49C7061}" name="Stock" dataDxfId="19" totalsRowDxfId="18"/>
    <tableColumn id="2" xr3:uid="{CA8F8665-5320-4E4D-A502-4583E69361C5}" name="Catégorie" dataDxfId="17" totalsRowDxfId="16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Summary="Liste des clients avec numéro de société, nom de société, nom de contact, adresse, ville, département, code postal, numéro de téléphone, adresse e-mail et télécopi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4F1D3D-FE64-43D7-BFF8-52A50CF52F43}" name="ListeClients348" displayName="ListeClients348" ref="B3:D18" totalsRowCount="1">
  <autoFilter ref="B3:D17" xr:uid="{DF4F1D3D-FE64-43D7-BFF8-52A50CF52F43}"/>
  <sortState xmlns:xlrd2="http://schemas.microsoft.com/office/spreadsheetml/2017/richdata2" ref="B4:D17">
    <sortCondition ref="D3:D17"/>
  </sortState>
  <tableColumns count="3">
    <tableColumn id="9" xr3:uid="{1CAD1455-83A0-466B-A96C-21A6CD89845B}" name="Rechercher" totalsRowLabel="Totaux" dataDxfId="15" totalsRowDxfId="14">
      <calculatedColumnFormula>C4&amp; " - "&amp;#REF!</calculatedColumnFormula>
    </tableColumn>
    <tableColumn id="1" xr3:uid="{17E0872F-98BA-44B9-805B-C59BE12BC31B}" name="Numéro " totalsRowFunction="custom" dataDxfId="13" totalsRowDxfId="12">
      <totalsRowFormula>"Total des catégories: "&amp;SUBTOTAL(103,ListeClients348[[Numéro ]])</totalsRowFormula>
    </tableColumn>
    <tableColumn id="3" xr3:uid="{2C228519-E6B1-428D-A33E-FED28569DA38}" name="Libellé" totalsRowDxfId="11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Summary="Liste des clients avec numéro de société, nom de société, nom de contact, adresse, ville, département, code postal, numéro de téléphone, adresse e-mail et télécopie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D38560-BEC5-4289-BB2A-D16FB7DCAC7E}" name="ListeClients34" displayName="ListeClients34" ref="B3:D9" totalsRowCount="1">
  <autoFilter ref="B3:D8" xr:uid="{7AD38560-BEC5-4289-BB2A-D16FB7DCAC7E}"/>
  <tableColumns count="3">
    <tableColumn id="9" xr3:uid="{CBB50AB5-9969-43FC-81BA-A6106385E11A}" name="Rechercher" totalsRowLabel="Totaux" dataDxfId="10" totalsRowDxfId="9">
      <calculatedColumnFormula>C4&amp; " - "&amp;#REF!</calculatedColumnFormula>
    </tableColumn>
    <tableColumn id="1" xr3:uid="{18CBB436-0E24-4EE2-A084-70CF62DC595C}" name="Numéro " totalsRowFunction="custom" dataDxfId="8" totalsRowDxfId="7">
      <totalsRowFormula>"Total des catégories: "&amp;SUBTOTAL(103,ListeClients34[[Numéro ]])</totalsRowFormula>
    </tableColumn>
    <tableColumn id="3" xr3:uid="{C05F1EEB-C2DB-414B-8333-FA165ABD774C}" name="Libellé" totalsRowDxfId="6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Summary="Liste des clients avec numéro de société, nom de société, nom de contact, adresse, ville, département, code postal, numéro de téléphone, adresse e-mail et télécopie"/>
    </ext>
  </extLst>
</table>
</file>

<file path=xl/theme/theme1.xml><?xml version="1.0" encoding="utf-8"?>
<a:theme xmlns:a="http://schemas.openxmlformats.org/drawingml/2006/main" name="Thème Office">
  <a:themeElements>
    <a:clrScheme name="Violet 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" xr10:uid="{7C5EEB87-8EC4-44BE-9021-C1D59619FC5A}" sourceName="Date de facturation">
  <pivotTables>
    <pivotTable tabId="7" name="Tableau croisé dynamique8"/>
    <pivotTable tabId="7" name="Tableau croisé dynamique1"/>
    <pivotTable tabId="7" name="Tableau croisé dynamique2"/>
  </pivotTables>
  <state minimalRefreshVersion="6" lastRefreshVersion="6" pivotCacheId="1294271582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" xr10:uid="{9D818DF5-0F25-441C-94CA-35CB98867F07}" cache="ChronologieNative_Date_de_facturation" caption="Date de facturation" showHorizontalScrollbar="0" level="2" selectionLevel="2" scrollPosition="2024-08-07T00:00:00" style="TimeSlicerStyleLight5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F581-568E-479B-B755-3AC93A050BB2}">
  <dimension ref="A1:K69"/>
  <sheetViews>
    <sheetView showGridLines="0" workbookViewId="0">
      <selection activeCell="G25" sqref="G25"/>
    </sheetView>
  </sheetViews>
  <sheetFormatPr defaultColWidth="11" defaultRowHeight="14.25" x14ac:dyDescent="0.2"/>
  <cols>
    <col min="1" max="1" width="13.125" bestFit="1" customWidth="1"/>
    <col min="2" max="2" width="12.125" bestFit="1" customWidth="1"/>
    <col min="3" max="5" width="8.875" bestFit="1" customWidth="1"/>
    <col min="6" max="6" width="12.5" bestFit="1" customWidth="1"/>
    <col min="7" max="7" width="8.875" bestFit="1" customWidth="1"/>
    <col min="8" max="8" width="9.875" bestFit="1" customWidth="1"/>
    <col min="9" max="9" width="12.875" bestFit="1" customWidth="1"/>
    <col min="10" max="11" width="8.875" bestFit="1" customWidth="1"/>
    <col min="12" max="12" width="13.375" customWidth="1"/>
    <col min="13" max="14" width="16.5" bestFit="1" customWidth="1"/>
  </cols>
  <sheetData>
    <row r="1" spans="1:11" s="2" customFormat="1" ht="30.95" customHeight="1" x14ac:dyDescent="0.2">
      <c r="A1" s="1"/>
    </row>
    <row r="2" spans="1:11" s="2" customFormat="1" ht="20.25" thickBot="1" x14ac:dyDescent="0.25">
      <c r="A2" s="3" t="s">
        <v>0</v>
      </c>
      <c r="I2" s="3" t="s">
        <v>44</v>
      </c>
    </row>
    <row r="3" spans="1:11" s="2" customFormat="1" ht="21" thickTop="1" thickBot="1" x14ac:dyDescent="0.25">
      <c r="B3" s="3"/>
      <c r="I3" s="3"/>
    </row>
    <row r="4" spans="1:11" ht="15" thickTop="1" x14ac:dyDescent="0.2">
      <c r="A4" s="33" t="s">
        <v>0</v>
      </c>
      <c r="B4" s="27" t="s">
        <v>47</v>
      </c>
      <c r="C4" s="27" t="s">
        <v>48</v>
      </c>
      <c r="D4" s="27" t="s">
        <v>49</v>
      </c>
      <c r="I4" s="33" t="s">
        <v>44</v>
      </c>
      <c r="J4" s="27" t="s">
        <v>45</v>
      </c>
      <c r="K4" s="27" t="s">
        <v>46</v>
      </c>
    </row>
    <row r="5" spans="1:11" x14ac:dyDescent="0.2">
      <c r="A5" s="27" t="s">
        <v>27</v>
      </c>
      <c r="B5" s="35">
        <v>35000</v>
      </c>
      <c r="C5" s="35">
        <v>20000</v>
      </c>
      <c r="D5" s="35">
        <v>15000</v>
      </c>
      <c r="I5" s="27" t="s">
        <v>24</v>
      </c>
      <c r="J5" s="35">
        <v>7000</v>
      </c>
      <c r="K5" s="35">
        <v>13000</v>
      </c>
    </row>
    <row r="6" spans="1:11" x14ac:dyDescent="0.2">
      <c r="A6" s="27" t="s">
        <v>123</v>
      </c>
      <c r="B6" s="35">
        <v>55000</v>
      </c>
      <c r="C6" s="35">
        <v>55000</v>
      </c>
      <c r="D6" s="35">
        <v>0</v>
      </c>
      <c r="I6" s="27" t="s">
        <v>22</v>
      </c>
      <c r="J6" s="35">
        <v>90500</v>
      </c>
      <c r="K6" s="35">
        <v>97500</v>
      </c>
    </row>
    <row r="7" spans="1:11" x14ac:dyDescent="0.2">
      <c r="A7" s="27" t="s">
        <v>126</v>
      </c>
      <c r="B7" s="35">
        <v>80000</v>
      </c>
      <c r="C7" s="35">
        <v>45000</v>
      </c>
      <c r="D7" s="35">
        <v>35000</v>
      </c>
      <c r="I7" s="27" t="s">
        <v>25</v>
      </c>
      <c r="J7" s="35">
        <v>116000</v>
      </c>
      <c r="K7" s="35">
        <v>119000</v>
      </c>
    </row>
    <row r="8" spans="1:11" x14ac:dyDescent="0.2">
      <c r="A8" s="27" t="s">
        <v>127</v>
      </c>
      <c r="B8" s="35">
        <v>103000</v>
      </c>
      <c r="C8" s="35">
        <v>103000</v>
      </c>
      <c r="D8" s="35">
        <v>0</v>
      </c>
      <c r="I8" s="27" t="s">
        <v>50</v>
      </c>
      <c r="J8" s="35">
        <v>161000</v>
      </c>
      <c r="K8" s="35">
        <v>12000</v>
      </c>
    </row>
    <row r="9" spans="1:11" x14ac:dyDescent="0.2">
      <c r="A9" s="27" t="s">
        <v>132</v>
      </c>
      <c r="B9" s="35">
        <v>140000</v>
      </c>
      <c r="C9" s="35">
        <v>80000</v>
      </c>
      <c r="D9" s="35">
        <v>60000</v>
      </c>
      <c r="I9" s="27" t="s">
        <v>26</v>
      </c>
      <c r="J9" s="35">
        <v>22000</v>
      </c>
      <c r="K9" s="35">
        <v>38000</v>
      </c>
    </row>
    <row r="10" spans="1:11" x14ac:dyDescent="0.2">
      <c r="A10" s="27" t="s">
        <v>131</v>
      </c>
      <c r="B10" s="35">
        <v>24000</v>
      </c>
      <c r="C10" s="35">
        <v>10000</v>
      </c>
      <c r="D10" s="35">
        <v>14000</v>
      </c>
      <c r="I10" s="27" t="s">
        <v>21</v>
      </c>
      <c r="J10" s="35">
        <v>25000</v>
      </c>
      <c r="K10" s="35">
        <v>55000</v>
      </c>
    </row>
    <row r="11" spans="1:11" x14ac:dyDescent="0.2">
      <c r="A11" s="27" t="s">
        <v>134</v>
      </c>
      <c r="B11" s="35">
        <v>80000</v>
      </c>
      <c r="C11" s="35">
        <v>80000</v>
      </c>
      <c r="D11" s="35">
        <v>0</v>
      </c>
      <c r="I11" s="27" t="s">
        <v>43</v>
      </c>
      <c r="J11" s="35">
        <v>421500</v>
      </c>
      <c r="K11" s="35">
        <v>334500</v>
      </c>
    </row>
    <row r="12" spans="1:11" x14ac:dyDescent="0.2">
      <c r="A12" s="27" t="s">
        <v>136</v>
      </c>
      <c r="B12" s="35">
        <v>45000</v>
      </c>
      <c r="C12" s="35"/>
      <c r="D12" s="35">
        <v>45000</v>
      </c>
    </row>
    <row r="13" spans="1:11" x14ac:dyDescent="0.2">
      <c r="A13" s="27" t="s">
        <v>125</v>
      </c>
      <c r="B13" s="35">
        <v>45000</v>
      </c>
      <c r="C13" s="35">
        <v>25000</v>
      </c>
      <c r="D13" s="35">
        <v>20000</v>
      </c>
    </row>
    <row r="14" spans="1:11" x14ac:dyDescent="0.2">
      <c r="A14" s="27" t="s">
        <v>129</v>
      </c>
      <c r="B14" s="35">
        <v>17000</v>
      </c>
      <c r="C14" s="35">
        <v>17000</v>
      </c>
      <c r="D14" s="35">
        <v>0</v>
      </c>
    </row>
    <row r="15" spans="1:11" x14ac:dyDescent="0.2">
      <c r="A15" s="27" t="s">
        <v>135</v>
      </c>
      <c r="B15" s="35">
        <v>132000</v>
      </c>
      <c r="C15" s="35">
        <v>50000</v>
      </c>
      <c r="D15" s="35">
        <v>82000</v>
      </c>
    </row>
    <row r="16" spans="1:11" x14ac:dyDescent="0.2">
      <c r="A16" s="27" t="s">
        <v>43</v>
      </c>
      <c r="B16" s="35">
        <v>756000</v>
      </c>
      <c r="C16" s="35">
        <v>485000</v>
      </c>
      <c r="D16" s="35">
        <v>271000</v>
      </c>
    </row>
    <row r="40" spans="1:5" x14ac:dyDescent="0.2">
      <c r="A40" s="33" t="s">
        <v>88</v>
      </c>
      <c r="B40" s="27" t="s">
        <v>36</v>
      </c>
      <c r="D40" s="33" t="s">
        <v>96</v>
      </c>
      <c r="E40" s="27" t="s">
        <v>97</v>
      </c>
    </row>
    <row r="41" spans="1:5" x14ac:dyDescent="0.2">
      <c r="A41" s="34">
        <v>45677</v>
      </c>
      <c r="B41" s="35">
        <v>12000</v>
      </c>
      <c r="D41" s="27" t="s">
        <v>92</v>
      </c>
      <c r="E41" s="35">
        <v>28000</v>
      </c>
    </row>
    <row r="42" spans="1:5" x14ac:dyDescent="0.2">
      <c r="A42" s="27" t="s">
        <v>93</v>
      </c>
      <c r="B42" s="35">
        <v>12000</v>
      </c>
      <c r="D42" s="27" t="s">
        <v>81</v>
      </c>
      <c r="E42" s="35">
        <v>20000</v>
      </c>
    </row>
    <row r="43" spans="1:5" x14ac:dyDescent="0.2">
      <c r="A43" s="34">
        <v>45708</v>
      </c>
      <c r="B43" s="35">
        <v>1750</v>
      </c>
      <c r="D43" s="27" t="s">
        <v>94</v>
      </c>
      <c r="E43" s="35">
        <v>5000</v>
      </c>
    </row>
    <row r="44" spans="1:5" x14ac:dyDescent="0.2">
      <c r="A44" s="27" t="s">
        <v>93</v>
      </c>
      <c r="B44" s="35">
        <v>1750</v>
      </c>
      <c r="D44" s="27" t="s">
        <v>93</v>
      </c>
      <c r="E44" s="35">
        <v>45450</v>
      </c>
    </row>
    <row r="45" spans="1:5" x14ac:dyDescent="0.2">
      <c r="A45" s="34">
        <v>45675</v>
      </c>
      <c r="B45" s="35">
        <v>1800</v>
      </c>
      <c r="D45" s="27" t="s">
        <v>95</v>
      </c>
      <c r="E45" s="35">
        <v>120000</v>
      </c>
    </row>
    <row r="46" spans="1:5" x14ac:dyDescent="0.2">
      <c r="A46" s="27" t="s">
        <v>93</v>
      </c>
      <c r="B46" s="35">
        <v>1800</v>
      </c>
      <c r="D46" s="27" t="s">
        <v>86</v>
      </c>
      <c r="E46" s="35">
        <v>10000</v>
      </c>
    </row>
    <row r="47" spans="1:5" x14ac:dyDescent="0.2">
      <c r="A47" s="34">
        <v>45679</v>
      </c>
      <c r="B47" s="35">
        <v>5000</v>
      </c>
      <c r="D47" s="27" t="s">
        <v>43</v>
      </c>
      <c r="E47" s="35">
        <v>228450</v>
      </c>
    </row>
    <row r="48" spans="1:5" x14ac:dyDescent="0.2">
      <c r="A48" s="27" t="s">
        <v>86</v>
      </c>
      <c r="B48" s="35">
        <v>5000</v>
      </c>
    </row>
    <row r="49" spans="1:9" x14ac:dyDescent="0.2">
      <c r="A49" s="34">
        <v>45713</v>
      </c>
      <c r="B49" s="35">
        <v>6400</v>
      </c>
    </row>
    <row r="50" spans="1:9" x14ac:dyDescent="0.2">
      <c r="A50" s="27" t="s">
        <v>93</v>
      </c>
      <c r="B50" s="35">
        <v>6400</v>
      </c>
    </row>
    <row r="51" spans="1:9" x14ac:dyDescent="0.2">
      <c r="A51" s="34">
        <v>45709</v>
      </c>
      <c r="B51" s="35">
        <v>5600</v>
      </c>
    </row>
    <row r="52" spans="1:9" x14ac:dyDescent="0.2">
      <c r="A52" s="27" t="s">
        <v>93</v>
      </c>
      <c r="B52" s="35">
        <v>5600</v>
      </c>
    </row>
    <row r="53" spans="1:9" x14ac:dyDescent="0.2">
      <c r="A53" s="34">
        <v>45718</v>
      </c>
      <c r="B53" s="35">
        <v>4900</v>
      </c>
    </row>
    <row r="54" spans="1:9" x14ac:dyDescent="0.2">
      <c r="A54" s="27" t="s">
        <v>93</v>
      </c>
      <c r="B54" s="35">
        <v>4900</v>
      </c>
    </row>
    <row r="55" spans="1:9" x14ac:dyDescent="0.2">
      <c r="A55" s="34">
        <v>45720</v>
      </c>
      <c r="B55" s="35">
        <v>5600</v>
      </c>
    </row>
    <row r="56" spans="1:9" x14ac:dyDescent="0.2">
      <c r="A56" s="27" t="s">
        <v>93</v>
      </c>
      <c r="B56" s="35">
        <v>5600</v>
      </c>
    </row>
    <row r="57" spans="1:9" x14ac:dyDescent="0.2">
      <c r="A57" s="34">
        <v>45721</v>
      </c>
      <c r="B57" s="35">
        <v>6400</v>
      </c>
      <c r="F57" s="33" t="s">
        <v>90</v>
      </c>
      <c r="G57" s="27" t="s">
        <v>31</v>
      </c>
      <c r="H57" s="27" t="s">
        <v>110</v>
      </c>
      <c r="I57" s="27" t="s">
        <v>120</v>
      </c>
    </row>
    <row r="58" spans="1:9" x14ac:dyDescent="0.2">
      <c r="A58" s="27" t="s">
        <v>93</v>
      </c>
      <c r="B58" s="35">
        <v>6400</v>
      </c>
      <c r="F58" s="34">
        <v>45401</v>
      </c>
      <c r="G58" s="35">
        <v>80000</v>
      </c>
      <c r="H58" s="35">
        <v>37000</v>
      </c>
      <c r="I58" s="35">
        <v>37000</v>
      </c>
    </row>
    <row r="59" spans="1:9" x14ac:dyDescent="0.2">
      <c r="A59" s="34">
        <v>45403</v>
      </c>
      <c r="B59" s="35">
        <v>35000</v>
      </c>
      <c r="F59" s="34">
        <v>45402</v>
      </c>
      <c r="G59" s="35">
        <v>209000</v>
      </c>
      <c r="H59" s="35">
        <v>98000</v>
      </c>
      <c r="I59" s="35">
        <v>84000</v>
      </c>
    </row>
    <row r="60" spans="1:9" x14ac:dyDescent="0.2">
      <c r="A60" s="27" t="s">
        <v>92</v>
      </c>
      <c r="B60" s="35">
        <v>5000</v>
      </c>
      <c r="F60" s="34">
        <v>45403</v>
      </c>
      <c r="G60" s="35">
        <v>60000</v>
      </c>
      <c r="H60" s="35">
        <v>38000</v>
      </c>
      <c r="I60" s="35">
        <v>-22000</v>
      </c>
    </row>
    <row r="61" spans="1:9" x14ac:dyDescent="0.2">
      <c r="A61" s="27" t="s">
        <v>81</v>
      </c>
      <c r="B61" s="35">
        <v>20000</v>
      </c>
      <c r="F61" s="34">
        <v>45679</v>
      </c>
      <c r="G61" s="35">
        <v>35000</v>
      </c>
      <c r="H61" s="35">
        <v>22000</v>
      </c>
      <c r="I61" s="35">
        <v>-13000</v>
      </c>
    </row>
    <row r="62" spans="1:9" x14ac:dyDescent="0.2">
      <c r="A62" s="27" t="s">
        <v>94</v>
      </c>
      <c r="B62" s="35">
        <v>5000</v>
      </c>
      <c r="F62" s="34">
        <v>45680</v>
      </c>
      <c r="G62" s="35">
        <v>80000</v>
      </c>
      <c r="H62" s="35">
        <v>55000</v>
      </c>
      <c r="I62" s="35">
        <v>55000</v>
      </c>
    </row>
    <row r="63" spans="1:9" x14ac:dyDescent="0.2">
      <c r="A63" s="27" t="s">
        <v>86</v>
      </c>
      <c r="B63" s="35">
        <v>5000</v>
      </c>
      <c r="F63" s="34">
        <v>45712</v>
      </c>
      <c r="G63" s="35">
        <v>35000</v>
      </c>
      <c r="H63" s="35">
        <v>22000</v>
      </c>
      <c r="I63" s="35">
        <v>7000</v>
      </c>
    </row>
    <row r="64" spans="1:9" x14ac:dyDescent="0.2">
      <c r="A64" s="34">
        <v>45404</v>
      </c>
      <c r="B64" s="35">
        <v>144000</v>
      </c>
      <c r="F64" s="34">
        <v>45713</v>
      </c>
      <c r="G64" s="35">
        <v>18000</v>
      </c>
      <c r="H64" s="35">
        <v>13000</v>
      </c>
      <c r="I64" s="35">
        <v>13000</v>
      </c>
    </row>
    <row r="65" spans="1:9" x14ac:dyDescent="0.2">
      <c r="A65" s="27" t="s">
        <v>92</v>
      </c>
      <c r="B65" s="35">
        <v>23000</v>
      </c>
      <c r="F65" s="34">
        <v>45714</v>
      </c>
      <c r="G65" s="35">
        <v>45000</v>
      </c>
      <c r="H65" s="35">
        <v>23500</v>
      </c>
      <c r="I65" s="35">
        <v>-21500</v>
      </c>
    </row>
    <row r="66" spans="1:9" x14ac:dyDescent="0.2">
      <c r="A66" s="27" t="s">
        <v>93</v>
      </c>
      <c r="B66" s="35">
        <v>1000</v>
      </c>
      <c r="F66" s="34">
        <v>45719</v>
      </c>
      <c r="G66" s="35">
        <v>45000</v>
      </c>
      <c r="H66" s="35">
        <v>24000</v>
      </c>
      <c r="I66" s="35">
        <v>4000</v>
      </c>
    </row>
    <row r="67" spans="1:9" x14ac:dyDescent="0.2">
      <c r="A67" s="27" t="s">
        <v>95</v>
      </c>
      <c r="B67" s="35">
        <v>120000</v>
      </c>
      <c r="F67" s="34">
        <v>45718</v>
      </c>
      <c r="G67" s="35">
        <v>17000</v>
      </c>
      <c r="H67" s="35">
        <v>2000</v>
      </c>
      <c r="I67" s="35">
        <v>2000</v>
      </c>
    </row>
    <row r="68" spans="1:9" x14ac:dyDescent="0.2">
      <c r="A68" s="34" t="s">
        <v>43</v>
      </c>
      <c r="B68" s="35">
        <v>228450</v>
      </c>
      <c r="F68" s="34">
        <v>45686</v>
      </c>
      <c r="G68" s="35">
        <v>132000</v>
      </c>
      <c r="H68" s="35">
        <v>0</v>
      </c>
      <c r="I68" s="35">
        <v>-82000</v>
      </c>
    </row>
    <row r="69" spans="1:9" x14ac:dyDescent="0.2">
      <c r="F69" s="27" t="s">
        <v>43</v>
      </c>
      <c r="G69" s="35">
        <v>756000</v>
      </c>
      <c r="H69" s="35">
        <v>334500</v>
      </c>
      <c r="I69" s="35">
        <v>63500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B5A0-9EE7-45C5-8B2B-4C28152B34C5}">
  <sheetPr>
    <tabColor theme="8"/>
  </sheetPr>
  <dimension ref="A1:K42"/>
  <sheetViews>
    <sheetView showGridLines="0" showRowColHeaders="0" zoomScale="110" zoomScaleNormal="110" workbookViewId="0">
      <selection activeCell="A41" sqref="A41"/>
    </sheetView>
  </sheetViews>
  <sheetFormatPr defaultColWidth="11" defaultRowHeight="14.25" x14ac:dyDescent="0.2"/>
  <cols>
    <col min="1" max="1" width="20.375" customWidth="1"/>
    <col min="2" max="2" width="23.625" customWidth="1"/>
    <col min="3" max="3" width="24.125" customWidth="1"/>
    <col min="4" max="4" width="4" customWidth="1"/>
    <col min="5" max="5" width="22.5" customWidth="1"/>
    <col min="6" max="6" width="5.125" customWidth="1"/>
    <col min="7" max="7" width="22.875" customWidth="1"/>
    <col min="8" max="8" width="4" customWidth="1"/>
    <col min="9" max="9" width="21.125" customWidth="1"/>
    <col min="10" max="10" width="3.5" customWidth="1"/>
    <col min="11" max="11" width="26" customWidth="1"/>
  </cols>
  <sheetData>
    <row r="1" spans="1:11" ht="24" customHeight="1" x14ac:dyDescent="0.2">
      <c r="A1" s="51" t="s">
        <v>122</v>
      </c>
      <c r="C1" s="36" t="s">
        <v>115</v>
      </c>
      <c r="D1" s="28"/>
      <c r="E1" s="53" t="s">
        <v>116</v>
      </c>
      <c r="F1" s="28"/>
      <c r="G1" s="36" t="s">
        <v>117</v>
      </c>
      <c r="H1" s="28"/>
      <c r="I1" s="53" t="s">
        <v>114</v>
      </c>
      <c r="K1" s="36" t="s">
        <v>121</v>
      </c>
    </row>
    <row r="2" spans="1:11" ht="22.5" customHeight="1" x14ac:dyDescent="0.2">
      <c r="A2" s="52">
        <f>I2-C2</f>
        <v>256550</v>
      </c>
      <c r="C2" s="32">
        <f>GETPIVOTDATA("Montant",RECAPITULATIF!$A$40)</f>
        <v>228450</v>
      </c>
      <c r="D2" s="28"/>
      <c r="E2" s="54">
        <f>GETPIVOTDATA("Commandés",RECAPITULATIF!$A$4)</f>
        <v>756000</v>
      </c>
      <c r="F2" s="28"/>
      <c r="G2" s="30">
        <f>GETPIVOTDATA("Bénéfices",RECAPITULATIF!$F$57)</f>
        <v>334500</v>
      </c>
      <c r="H2" s="28"/>
      <c r="I2" s="54">
        <f>GETPIVOTDATA("Payés",RECAPITULATIF!$A$4)</f>
        <v>485000</v>
      </c>
      <c r="K2" s="31">
        <f>GETPIVOTDATA("Gains perçus",RECAPITULATIF!$F$57)</f>
        <v>63500</v>
      </c>
    </row>
    <row r="3" spans="1:11" ht="17.25" customHeight="1" x14ac:dyDescent="0.2">
      <c r="C3" s="29"/>
      <c r="D3" s="29"/>
      <c r="E3" s="29"/>
      <c r="F3" s="29"/>
      <c r="G3" s="29"/>
      <c r="H3" s="29"/>
      <c r="I3" s="29"/>
    </row>
    <row r="4" spans="1:11" ht="24.75" customHeight="1" x14ac:dyDescent="0.2">
      <c r="C4" s="55" t="s">
        <v>113</v>
      </c>
      <c r="D4" s="38"/>
      <c r="E4" s="37" t="s">
        <v>112</v>
      </c>
      <c r="F4" s="39"/>
      <c r="G4" s="37" t="s">
        <v>111</v>
      </c>
      <c r="H4" s="39"/>
      <c r="I4" s="37" t="s">
        <v>118</v>
      </c>
      <c r="J4" s="22"/>
      <c r="K4" s="37" t="s">
        <v>120</v>
      </c>
    </row>
    <row r="5" spans="1:11" ht="25.5" customHeight="1" x14ac:dyDescent="0.2">
      <c r="C5" s="56">
        <f ca="1">SUMIF(FacturesPrincipal9[Date],TODAY(),FacturesPrincipal9[Montant])</f>
        <v>0</v>
      </c>
      <c r="D5" s="39"/>
      <c r="E5" s="40">
        <f ca="1">SUMIF(FacturesPrincipal[Date de facturation],TODAY(),FacturesPrincipal[Total à payer])</f>
        <v>0</v>
      </c>
      <c r="F5" s="39"/>
      <c r="G5" s="40">
        <f ca="1">SUMIF(FacturesPrincipal[Date de facturation],TODAY(),FacturesPrincipal[Bénéfice])</f>
        <v>0</v>
      </c>
      <c r="H5" s="39"/>
      <c r="I5" s="40">
        <f ca="1">SUMIF(FacturesPrincipal[Date de facturation],TODAY(),FacturesPrincipal[Payé])</f>
        <v>0</v>
      </c>
      <c r="J5" s="22"/>
      <c r="K5" s="40">
        <f ca="1">SUMIF(FacturesPrincipal[Date de facturation],TODAY(),FacturesPrincipal[Bénéfice perçu])</f>
        <v>0</v>
      </c>
    </row>
    <row r="6" spans="1:11" x14ac:dyDescent="0.2">
      <c r="C6" s="27"/>
      <c r="E6" s="19"/>
      <c r="G6" s="19"/>
    </row>
    <row r="7" spans="1:11" x14ac:dyDescent="0.2">
      <c r="C7" s="27"/>
      <c r="E7" s="19"/>
      <c r="G7" s="19"/>
    </row>
    <row r="42" spans="2:2" x14ac:dyDescent="0.2">
      <c r="B42" s="5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B6FD-DD3C-4A04-98E6-694C3F04F9AB}">
  <dimension ref="A1:N27"/>
  <sheetViews>
    <sheetView showGridLines="0" workbookViewId="0">
      <selection activeCell="E4" sqref="E4"/>
    </sheetView>
  </sheetViews>
  <sheetFormatPr defaultColWidth="8.875" defaultRowHeight="33.950000000000003" customHeight="1" x14ac:dyDescent="0.2"/>
  <cols>
    <col min="1" max="1" width="2.625" style="2" customWidth="1"/>
    <col min="2" max="2" width="16.625" style="2" customWidth="1"/>
    <col min="3" max="3" width="20.625" style="2" customWidth="1"/>
    <col min="4" max="4" width="21.625" style="2" customWidth="1"/>
    <col min="5" max="5" width="25.625" style="2" customWidth="1"/>
    <col min="6" max="6" width="16.875" style="2" customWidth="1"/>
    <col min="7" max="7" width="14.375" style="2" customWidth="1"/>
    <col min="8" max="10" width="15.625" style="2" customWidth="1"/>
    <col min="11" max="11" width="17.625" style="2" customWidth="1"/>
    <col min="12" max="13" width="21" style="2" customWidth="1"/>
    <col min="14" max="14" width="29.625" style="2" customWidth="1"/>
    <col min="15" max="15" width="2.625" style="2" customWidth="1"/>
    <col min="16" max="16384" width="8.875" style="2"/>
  </cols>
  <sheetData>
    <row r="1" spans="1:14" ht="30.95" customHeight="1" x14ac:dyDescent="0.2">
      <c r="A1" s="1"/>
    </row>
    <row r="2" spans="1:14" ht="19.5" x14ac:dyDescent="0.2">
      <c r="B2" s="42" t="s">
        <v>31</v>
      </c>
    </row>
    <row r="3" spans="1:14" ht="24" customHeight="1" x14ac:dyDescent="0.2">
      <c r="B3" s="41" t="s">
        <v>28</v>
      </c>
      <c r="C3" s="41" t="s">
        <v>32</v>
      </c>
      <c r="D3" s="41" t="s">
        <v>29</v>
      </c>
      <c r="E3" s="41" t="s">
        <v>33</v>
      </c>
      <c r="F3" s="41" t="s">
        <v>34</v>
      </c>
      <c r="G3" s="41" t="s">
        <v>35</v>
      </c>
      <c r="H3" s="41" t="s">
        <v>39</v>
      </c>
      <c r="I3" s="41" t="s">
        <v>40</v>
      </c>
      <c r="J3" s="41" t="s">
        <v>41</v>
      </c>
      <c r="K3" s="41" t="s">
        <v>37</v>
      </c>
      <c r="L3" s="41" t="s">
        <v>38</v>
      </c>
      <c r="M3" s="41" t="s">
        <v>119</v>
      </c>
      <c r="N3" s="41" t="s">
        <v>30</v>
      </c>
    </row>
    <row r="4" spans="1:14" ht="14.25" x14ac:dyDescent="0.2">
      <c r="B4" s="18" t="s">
        <v>51</v>
      </c>
      <c r="C4" s="6" t="s">
        <v>123</v>
      </c>
      <c r="D4" s="43">
        <v>45401</v>
      </c>
      <c r="E4" s="44" t="s">
        <v>22</v>
      </c>
      <c r="F4" s="20">
        <v>1</v>
      </c>
      <c r="G4" s="16">
        <v>35000</v>
      </c>
      <c r="H4" s="21">
        <f>FacturesPrincipal[[#This Row],[Qté]]*FacturesPrincipal[[#This Row],[Prix Unitaire]]</f>
        <v>35000</v>
      </c>
      <c r="I4" s="16">
        <v>35000</v>
      </c>
      <c r="J4" s="21">
        <f>FacturesPrincipal[[#This Row],[Total à payer]]-FacturesPrincipal[[#This Row],[Payé]]</f>
        <v>0</v>
      </c>
      <c r="K4" s="16">
        <v>21500</v>
      </c>
      <c r="L4" s="21">
        <f>FacturesPrincipal[[#This Row],[Total à payer]]-FacturesPrincipal[[#This Row],[Frais Produit]]</f>
        <v>13500</v>
      </c>
      <c r="M4" s="21">
        <f>FacturesPrincipal[[#This Row],[Payé]]-FacturesPrincipal[[#This Row],[Frais Produit]]</f>
        <v>13500</v>
      </c>
      <c r="N4" s="7" t="s">
        <v>52</v>
      </c>
    </row>
    <row r="5" spans="1:14" ht="14.25" x14ac:dyDescent="0.2">
      <c r="B5" s="18" t="s">
        <v>58</v>
      </c>
      <c r="C5" s="6" t="s">
        <v>126</v>
      </c>
      <c r="D5" s="43">
        <v>45401</v>
      </c>
      <c r="E5" s="44" t="s">
        <v>22</v>
      </c>
      <c r="F5" s="20">
        <v>1</v>
      </c>
      <c r="G5" s="16">
        <v>45000</v>
      </c>
      <c r="H5" s="21">
        <f>FacturesPrincipal[[#This Row],[Qté]]*FacturesPrincipal[[#This Row],[Prix Unitaire]]</f>
        <v>45000</v>
      </c>
      <c r="I5" s="16">
        <v>45000</v>
      </c>
      <c r="J5" s="21">
        <f>FacturesPrincipal[[#This Row],[Total à payer]]-FacturesPrincipal[[#This Row],[Payé]]</f>
        <v>0</v>
      </c>
      <c r="K5" s="16">
        <v>21500</v>
      </c>
      <c r="L5" s="21">
        <f>FacturesPrincipal[[#This Row],[Total à payer]]-FacturesPrincipal[[#This Row],[Frais Produit]]</f>
        <v>23500</v>
      </c>
      <c r="M5" s="21">
        <f>FacturesPrincipal[[#This Row],[Payé]]-FacturesPrincipal[[#This Row],[Frais Produit]]</f>
        <v>23500</v>
      </c>
      <c r="N5" s="7" t="s">
        <v>52</v>
      </c>
    </row>
    <row r="6" spans="1:14" ht="18" customHeight="1" x14ac:dyDescent="0.2">
      <c r="B6" s="18" t="s">
        <v>59</v>
      </c>
      <c r="C6" s="6" t="s">
        <v>127</v>
      </c>
      <c r="D6" s="43">
        <v>45402</v>
      </c>
      <c r="E6" s="44" t="s">
        <v>25</v>
      </c>
      <c r="F6" s="20">
        <v>1</v>
      </c>
      <c r="G6" s="16">
        <v>85000</v>
      </c>
      <c r="H6" s="21">
        <f>FacturesPrincipal[[#This Row],[Qté]]*FacturesPrincipal[[#This Row],[Prix Unitaire]]</f>
        <v>85000</v>
      </c>
      <c r="I6" s="16">
        <v>85000</v>
      </c>
      <c r="J6" s="21">
        <f>FacturesPrincipal[[#This Row],[Total à payer]]-FacturesPrincipal[[#This Row],[Payé]]</f>
        <v>0</v>
      </c>
      <c r="K6" s="16">
        <v>43000</v>
      </c>
      <c r="L6" s="21">
        <f>FacturesPrincipal[[#This Row],[Total à payer]]-FacturesPrincipal[[#This Row],[Frais Produit]]</f>
        <v>42000</v>
      </c>
      <c r="M6" s="21">
        <f>FacturesPrincipal[[#This Row],[Payé]]-FacturesPrincipal[[#This Row],[Frais Produit]]</f>
        <v>42000</v>
      </c>
      <c r="N6" s="7" t="s">
        <v>53</v>
      </c>
    </row>
    <row r="7" spans="1:14" ht="14.25" x14ac:dyDescent="0.2">
      <c r="B7" s="18" t="s">
        <v>60</v>
      </c>
      <c r="C7" s="6" t="s">
        <v>132</v>
      </c>
      <c r="D7" s="43">
        <v>45402</v>
      </c>
      <c r="E7" s="44" t="s">
        <v>25</v>
      </c>
      <c r="F7" s="20">
        <v>1</v>
      </c>
      <c r="G7" s="16">
        <v>80000</v>
      </c>
      <c r="H7" s="21">
        <f>FacturesPrincipal[[#This Row],[Qté]]*FacturesPrincipal[[#This Row],[Prix Unitaire]]</f>
        <v>80000</v>
      </c>
      <c r="I7" s="16">
        <v>80000</v>
      </c>
      <c r="J7" s="21">
        <f>FacturesPrincipal[[#This Row],[Total à payer]]-FacturesPrincipal[[#This Row],[Payé]]</f>
        <v>0</v>
      </c>
      <c r="K7" s="16">
        <v>47000</v>
      </c>
      <c r="L7" s="21">
        <f>FacturesPrincipal[[#This Row],[Total à payer]]-FacturesPrincipal[[#This Row],[Frais Produit]]</f>
        <v>33000</v>
      </c>
      <c r="M7" s="21">
        <f>FacturesPrincipal[[#This Row],[Payé]]-FacturesPrincipal[[#This Row],[Frais Produit]]</f>
        <v>33000</v>
      </c>
      <c r="N7" s="7" t="s">
        <v>54</v>
      </c>
    </row>
    <row r="8" spans="1:14" ht="14.25" x14ac:dyDescent="0.2">
      <c r="B8" s="18" t="s">
        <v>61</v>
      </c>
      <c r="C8" s="6" t="s">
        <v>123</v>
      </c>
      <c r="D8" s="43">
        <v>45402</v>
      </c>
      <c r="E8" s="44" t="s">
        <v>24</v>
      </c>
      <c r="F8" s="20">
        <v>1</v>
      </c>
      <c r="G8" s="16">
        <v>20000</v>
      </c>
      <c r="H8" s="21">
        <f>FacturesPrincipal[[#This Row],[Qté]]*FacturesPrincipal[[#This Row],[Prix Unitaire]]</f>
        <v>20000</v>
      </c>
      <c r="I8" s="16">
        <v>20000</v>
      </c>
      <c r="J8" s="21">
        <f>FacturesPrincipal[[#This Row],[Total à payer]]-FacturesPrincipal[[#This Row],[Payé]]</f>
        <v>0</v>
      </c>
      <c r="K8" s="16">
        <v>7000</v>
      </c>
      <c r="L8" s="21">
        <f>FacturesPrincipal[[#This Row],[Total à payer]]-FacturesPrincipal[[#This Row],[Frais Produit]]</f>
        <v>13000</v>
      </c>
      <c r="M8" s="21">
        <f>FacturesPrincipal[[#This Row],[Payé]]-FacturesPrincipal[[#This Row],[Frais Produit]]</f>
        <v>13000</v>
      </c>
      <c r="N8" s="7"/>
    </row>
    <row r="9" spans="1:14" ht="14.25" x14ac:dyDescent="0.2">
      <c r="B9" s="18" t="s">
        <v>62</v>
      </c>
      <c r="C9" s="6" t="s">
        <v>131</v>
      </c>
      <c r="D9" s="43">
        <v>45402</v>
      </c>
      <c r="E9" s="44" t="s">
        <v>50</v>
      </c>
      <c r="F9" s="20">
        <v>1</v>
      </c>
      <c r="G9" s="16">
        <v>24000</v>
      </c>
      <c r="H9" s="21">
        <f>FacturesPrincipal[[#This Row],[Qté]]*FacturesPrincipal[[#This Row],[Prix Unitaire]]</f>
        <v>24000</v>
      </c>
      <c r="I9" s="16">
        <v>10000</v>
      </c>
      <c r="J9" s="21">
        <f>FacturesPrincipal[[#This Row],[Total à payer]]-FacturesPrincipal[[#This Row],[Payé]]</f>
        <v>14000</v>
      </c>
      <c r="K9" s="16">
        <v>14000</v>
      </c>
      <c r="L9" s="21">
        <f>FacturesPrincipal[[#This Row],[Total à payer]]-FacturesPrincipal[[#This Row],[Frais Produit]]</f>
        <v>10000</v>
      </c>
      <c r="M9" s="21">
        <f>FacturesPrincipal[[#This Row],[Payé]]-FacturesPrincipal[[#This Row],[Frais Produit]]</f>
        <v>-4000</v>
      </c>
      <c r="N9" s="7"/>
    </row>
    <row r="10" spans="1:14" ht="14.25" x14ac:dyDescent="0.2">
      <c r="B10" s="18" t="s">
        <v>63</v>
      </c>
      <c r="C10" s="6" t="s">
        <v>132</v>
      </c>
      <c r="D10" s="43">
        <v>45403</v>
      </c>
      <c r="E10" s="44" t="s">
        <v>26</v>
      </c>
      <c r="F10" s="20">
        <v>1</v>
      </c>
      <c r="G10" s="16">
        <v>60000</v>
      </c>
      <c r="H10" s="21">
        <f>FacturesPrincipal[[#This Row],[Qté]]*FacturesPrincipal[[#This Row],[Prix Unitaire]]</f>
        <v>60000</v>
      </c>
      <c r="I10" s="16"/>
      <c r="J10" s="21">
        <f>FacturesPrincipal[[#This Row],[Total à payer]]-FacturesPrincipal[[#This Row],[Payé]]</f>
        <v>60000</v>
      </c>
      <c r="K10" s="16">
        <v>22000</v>
      </c>
      <c r="L10" s="21">
        <f>FacturesPrincipal[[#This Row],[Total à payer]]-FacturesPrincipal[[#This Row],[Frais Produit]]</f>
        <v>38000</v>
      </c>
      <c r="M10" s="21">
        <f>FacturesPrincipal[[#This Row],[Payé]]-FacturesPrincipal[[#This Row],[Frais Produit]]</f>
        <v>-22000</v>
      </c>
      <c r="N10" s="7"/>
    </row>
    <row r="11" spans="1:14" ht="14.25" x14ac:dyDescent="0.2">
      <c r="B11" s="18" t="s">
        <v>64</v>
      </c>
      <c r="C11" s="6" t="s">
        <v>126</v>
      </c>
      <c r="D11" s="43">
        <v>45679</v>
      </c>
      <c r="E11" s="44" t="s">
        <v>25</v>
      </c>
      <c r="F11" s="20">
        <v>1</v>
      </c>
      <c r="G11" s="16">
        <v>35000</v>
      </c>
      <c r="H11" s="21">
        <f>FacturesPrincipal[[#This Row],[Qté]]*FacturesPrincipal[[#This Row],[Prix Unitaire]]</f>
        <v>35000</v>
      </c>
      <c r="I11" s="16"/>
      <c r="J11" s="21">
        <f>FacturesPrincipal[[#This Row],[Total à payer]]-FacturesPrincipal[[#This Row],[Payé]]</f>
        <v>35000</v>
      </c>
      <c r="K11" s="16">
        <v>13000</v>
      </c>
      <c r="L11" s="21">
        <f>FacturesPrincipal[[#This Row],[Total à payer]]-FacturesPrincipal[[#This Row],[Frais Produit]]</f>
        <v>22000</v>
      </c>
      <c r="M11" s="21">
        <f>FacturesPrincipal[[#This Row],[Payé]]-FacturesPrincipal[[#This Row],[Frais Produit]]</f>
        <v>-13000</v>
      </c>
      <c r="N11" s="7" t="s">
        <v>55</v>
      </c>
    </row>
    <row r="12" spans="1:14" ht="14.25" x14ac:dyDescent="0.2">
      <c r="B12" s="18" t="s">
        <v>65</v>
      </c>
      <c r="C12" s="6" t="s">
        <v>134</v>
      </c>
      <c r="D12" s="43">
        <v>45680</v>
      </c>
      <c r="E12" s="44" t="s">
        <v>21</v>
      </c>
      <c r="F12" s="20">
        <v>1</v>
      </c>
      <c r="G12" s="16">
        <v>80000</v>
      </c>
      <c r="H12" s="21">
        <f>FacturesPrincipal[[#This Row],[Qté]]*FacturesPrincipal[[#This Row],[Prix Unitaire]]</f>
        <v>80000</v>
      </c>
      <c r="I12" s="16">
        <v>80000</v>
      </c>
      <c r="J12" s="21">
        <f>FacturesPrincipal[[#This Row],[Total à payer]]-FacturesPrincipal[[#This Row],[Payé]]</f>
        <v>0</v>
      </c>
      <c r="K12" s="16">
        <v>25000</v>
      </c>
      <c r="L12" s="21">
        <f>FacturesPrincipal[[#This Row],[Total à payer]]-FacturesPrincipal[[#This Row],[Frais Produit]]</f>
        <v>55000</v>
      </c>
      <c r="M12" s="21">
        <f>FacturesPrincipal[[#This Row],[Payé]]-FacturesPrincipal[[#This Row],[Frais Produit]]</f>
        <v>55000</v>
      </c>
      <c r="N12" s="7" t="s">
        <v>56</v>
      </c>
    </row>
    <row r="13" spans="1:14" ht="14.25" x14ac:dyDescent="0.2">
      <c r="B13" s="18" t="s">
        <v>66</v>
      </c>
      <c r="C13" s="6" t="s">
        <v>27</v>
      </c>
      <c r="D13" s="43">
        <v>45712</v>
      </c>
      <c r="E13" s="44" t="s">
        <v>25</v>
      </c>
      <c r="F13" s="20">
        <v>1</v>
      </c>
      <c r="G13" s="16">
        <v>35000</v>
      </c>
      <c r="H13" s="21">
        <f>FacturesPrincipal[[#This Row],[Qté]]*FacturesPrincipal[[#This Row],[Prix Unitaire]]</f>
        <v>35000</v>
      </c>
      <c r="I13" s="16">
        <v>20000</v>
      </c>
      <c r="J13" s="21">
        <f>FacturesPrincipal[[#This Row],[Total à payer]]-FacturesPrincipal[[#This Row],[Payé]]</f>
        <v>15000</v>
      </c>
      <c r="K13" s="16">
        <v>13000</v>
      </c>
      <c r="L13" s="21">
        <f>FacturesPrincipal[[#This Row],[Total à payer]]-FacturesPrincipal[[#This Row],[Frais Produit]]</f>
        <v>22000</v>
      </c>
      <c r="M13" s="21">
        <f>FacturesPrincipal[[#This Row],[Payé]]-FacturesPrincipal[[#This Row],[Frais Produit]]</f>
        <v>7000</v>
      </c>
      <c r="N13" s="7" t="s">
        <v>57</v>
      </c>
    </row>
    <row r="14" spans="1:14" ht="14.25" x14ac:dyDescent="0.2">
      <c r="B14" s="18" t="s">
        <v>67</v>
      </c>
      <c r="C14" s="6" t="s">
        <v>127</v>
      </c>
      <c r="D14" s="43">
        <v>45713</v>
      </c>
      <c r="E14" s="44" t="s">
        <v>22</v>
      </c>
      <c r="F14" s="20">
        <v>2</v>
      </c>
      <c r="G14" s="16">
        <v>9000</v>
      </c>
      <c r="H14" s="21">
        <f>FacturesPrincipal[[#This Row],[Qté]]*FacturesPrincipal[[#This Row],[Prix Unitaire]]</f>
        <v>18000</v>
      </c>
      <c r="I14" s="16">
        <v>18000</v>
      </c>
      <c r="J14" s="21">
        <f>FacturesPrincipal[[#This Row],[Total à payer]]-FacturesPrincipal[[#This Row],[Payé]]</f>
        <v>0</v>
      </c>
      <c r="K14" s="16">
        <v>5000</v>
      </c>
      <c r="L14" s="21">
        <f>FacturesPrincipal[[#This Row],[Total à payer]]-FacturesPrincipal[[#This Row],[Frais Produit]]</f>
        <v>13000</v>
      </c>
      <c r="M14" s="21">
        <f>FacturesPrincipal[[#This Row],[Payé]]-FacturesPrincipal[[#This Row],[Frais Produit]]</f>
        <v>13000</v>
      </c>
      <c r="N14" s="7"/>
    </row>
    <row r="15" spans="1:14" ht="14.25" x14ac:dyDescent="0.2">
      <c r="B15" s="18" t="s">
        <v>68</v>
      </c>
      <c r="C15" s="6" t="s">
        <v>136</v>
      </c>
      <c r="D15" s="43">
        <v>45714</v>
      </c>
      <c r="E15" s="44" t="s">
        <v>22</v>
      </c>
      <c r="F15" s="20">
        <v>1</v>
      </c>
      <c r="G15" s="16">
        <v>45000</v>
      </c>
      <c r="H15" s="21">
        <f>FacturesPrincipal[[#This Row],[Qté]]*FacturesPrincipal[[#This Row],[Prix Unitaire]]</f>
        <v>45000</v>
      </c>
      <c r="I15" s="16"/>
      <c r="J15" s="21">
        <f>FacturesPrincipal[[#This Row],[Total à payer]]-FacturesPrincipal[[#This Row],[Payé]]</f>
        <v>45000</v>
      </c>
      <c r="K15" s="16">
        <v>21500</v>
      </c>
      <c r="L15" s="21">
        <f>FacturesPrincipal[[#This Row],[Total à payer]]-FacturesPrincipal[[#This Row],[Frais Produit]]</f>
        <v>23500</v>
      </c>
      <c r="M15" s="21">
        <f>FacturesPrincipal[[#This Row],[Payé]]-FacturesPrincipal[[#This Row],[Frais Produit]]</f>
        <v>-21500</v>
      </c>
      <c r="N15" s="7"/>
    </row>
    <row r="16" spans="1:14" ht="14.25" x14ac:dyDescent="0.2">
      <c r="B16" s="18" t="s">
        <v>69</v>
      </c>
      <c r="C16" s="6" t="s">
        <v>125</v>
      </c>
      <c r="D16" s="43">
        <v>45719</v>
      </c>
      <c r="E16" s="44" t="s">
        <v>22</v>
      </c>
      <c r="F16" s="20">
        <v>1</v>
      </c>
      <c r="G16" s="16">
        <v>45000</v>
      </c>
      <c r="H16" s="21">
        <f>FacturesPrincipal[[#This Row],[Qté]]*FacturesPrincipal[[#This Row],[Prix Unitaire]]</f>
        <v>45000</v>
      </c>
      <c r="I16" s="16">
        <v>25000</v>
      </c>
      <c r="J16" s="21">
        <f>FacturesPrincipal[[#This Row],[Total à payer]]-FacturesPrincipal[[#This Row],[Payé]]</f>
        <v>20000</v>
      </c>
      <c r="K16" s="16">
        <v>21000</v>
      </c>
      <c r="L16" s="21">
        <f>FacturesPrincipal[[#This Row],[Total à payer]]-FacturesPrincipal[[#This Row],[Frais Produit]]</f>
        <v>24000</v>
      </c>
      <c r="M16" s="21">
        <f>FacturesPrincipal[[#This Row],[Payé]]-FacturesPrincipal[[#This Row],[Frais Produit]]</f>
        <v>4000</v>
      </c>
      <c r="N16" s="7"/>
    </row>
    <row r="17" spans="2:14" ht="14.25" x14ac:dyDescent="0.2">
      <c r="B17" s="18" t="s">
        <v>70</v>
      </c>
      <c r="C17" s="6" t="s">
        <v>129</v>
      </c>
      <c r="D17" s="43">
        <v>45718</v>
      </c>
      <c r="E17" s="44" t="s">
        <v>50</v>
      </c>
      <c r="F17" s="20">
        <v>1</v>
      </c>
      <c r="G17" s="16">
        <v>17000</v>
      </c>
      <c r="H17" s="21">
        <f>FacturesPrincipal[[#This Row],[Qté]]*FacturesPrincipal[[#This Row],[Prix Unitaire]]</f>
        <v>17000</v>
      </c>
      <c r="I17" s="16">
        <v>17000</v>
      </c>
      <c r="J17" s="21">
        <f>FacturesPrincipal[[#This Row],[Total à payer]]-FacturesPrincipal[[#This Row],[Payé]]</f>
        <v>0</v>
      </c>
      <c r="K17" s="16">
        <v>15000</v>
      </c>
      <c r="L17" s="21">
        <f>FacturesPrincipal[[#This Row],[Total à payer]]-FacturesPrincipal[[#This Row],[Frais Produit]]</f>
        <v>2000</v>
      </c>
      <c r="M17" s="21">
        <f>FacturesPrincipal[[#This Row],[Payé]]-FacturesPrincipal[[#This Row],[Frais Produit]]</f>
        <v>2000</v>
      </c>
      <c r="N17" s="7"/>
    </row>
    <row r="18" spans="2:14" ht="14.25" x14ac:dyDescent="0.2">
      <c r="B18" s="18" t="s">
        <v>71</v>
      </c>
      <c r="C18" s="6" t="s">
        <v>135</v>
      </c>
      <c r="D18" s="43">
        <v>45686</v>
      </c>
      <c r="E18" s="44" t="s">
        <v>50</v>
      </c>
      <c r="F18" s="20">
        <v>1</v>
      </c>
      <c r="G18" s="16">
        <v>132000</v>
      </c>
      <c r="H18" s="21">
        <f>FacturesPrincipal[[#This Row],[Qté]]*FacturesPrincipal[[#This Row],[Prix Unitaire]]</f>
        <v>132000</v>
      </c>
      <c r="I18" s="16">
        <v>50000</v>
      </c>
      <c r="J18" s="21">
        <f>FacturesPrincipal[[#This Row],[Total à payer]]-FacturesPrincipal[[#This Row],[Payé]]</f>
        <v>82000</v>
      </c>
      <c r="K18" s="16">
        <v>20000</v>
      </c>
      <c r="L18" s="21">
        <f>FacturesPrincipal[[#This Row],[Total à payer]]-FacturesPrincipal[[#This Row],[Frais Produit]]</f>
        <v>112000</v>
      </c>
      <c r="M18" s="21">
        <f>FacturesPrincipal[[#This Row],[Payé]]-FacturesPrincipal[[#This Row],[Frais Produit]]</f>
        <v>30000</v>
      </c>
      <c r="N18" s="7"/>
    </row>
    <row r="19" spans="2:14" ht="14.25" x14ac:dyDescent="0.2">
      <c r="B19" s="8" t="s">
        <v>5</v>
      </c>
      <c r="C19" s="8" t="str">
        <f>"Total des ventes: "&amp;SUBTOTAL(103,FacturesPrincipal[N° de facture])</f>
        <v>Total des ventes: 15</v>
      </c>
      <c r="D19" s="19"/>
      <c r="E19" s="44"/>
      <c r="F19" s="45"/>
      <c r="G19" s="46"/>
      <c r="H19" s="46">
        <f>SUBTOTAL(109,FacturesPrincipal[Total à payer])</f>
        <v>756000</v>
      </c>
      <c r="I19" s="46">
        <f>SUBTOTAL(109,FacturesPrincipal[Payé])</f>
        <v>485000</v>
      </c>
      <c r="J19" s="46">
        <f>SUBTOTAL(109,FacturesPrincipal[Restant])</f>
        <v>271000</v>
      </c>
      <c r="K19" s="46">
        <f>SUBTOTAL(109,FacturesPrincipal[Frais Produit])</f>
        <v>309500</v>
      </c>
      <c r="L19" s="46">
        <f>SUBTOTAL(109,FacturesPrincipal[Bénéfice])</f>
        <v>446500</v>
      </c>
      <c r="M19" s="46">
        <f>SUBTOTAL(109,FacturesPrincipal[Bénéfice perçu])</f>
        <v>175500</v>
      </c>
      <c r="N19" s="7"/>
    </row>
    <row r="20" spans="2:14" ht="14.25" x14ac:dyDescent="0.2"/>
    <row r="21" spans="2:14" ht="14.25" x14ac:dyDescent="0.2"/>
    <row r="22" spans="2:14" ht="14.25" x14ac:dyDescent="0.2"/>
    <row r="23" spans="2:14" ht="14.25" x14ac:dyDescent="0.2"/>
    <row r="24" spans="2:14" ht="14.25" x14ac:dyDescent="0.2"/>
    <row r="25" spans="2:14" ht="14.25" x14ac:dyDescent="0.2"/>
    <row r="26" spans="2:14" ht="14.25" x14ac:dyDescent="0.2"/>
    <row r="27" spans="2:14" ht="14.25" x14ac:dyDescent="0.2"/>
  </sheetData>
  <phoneticPr fontId="11" type="noConversion"/>
  <conditionalFormatting sqref="B4:B18">
    <cfRule type="duplicateValues" dxfId="5" priority="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AE5068-1F1D-426E-B463-C541DB37180C}">
          <x14:formula1>
            <xm:f>CLIENTS!$D$4:$D$18</xm:f>
          </x14:formula1>
          <xm:sqref>C4:C18</xm:sqref>
        </x14:dataValidation>
        <x14:dataValidation type="list" allowBlank="1" showInputMessage="1" showErrorMessage="1" xr:uid="{EC147031-A7CC-4096-A643-79B72D0367F0}">
          <x14:formula1>
            <xm:f>ARTICLES!$D$4:$D$12</xm:f>
          </x14:formula1>
          <xm:sqref>E4:E18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0B99-5B6F-4BED-B2DA-07E38D0C3821}">
  <dimension ref="A1:F24"/>
  <sheetViews>
    <sheetView showGridLines="0" topLeftCell="A20" workbookViewId="0">
      <selection activeCell="C7" sqref="C7"/>
    </sheetView>
  </sheetViews>
  <sheetFormatPr defaultColWidth="8.875" defaultRowHeight="33.950000000000003" customHeight="1" x14ac:dyDescent="0.2"/>
  <cols>
    <col min="1" max="1" width="2.625" style="2" customWidth="1"/>
    <col min="2" max="2" width="16.625" style="2" customWidth="1"/>
    <col min="3" max="3" width="28.125" style="2" customWidth="1"/>
    <col min="4" max="4" width="21.625" style="2" customWidth="1"/>
    <col min="5" max="5" width="16.875" style="2" customWidth="1"/>
    <col min="6" max="6" width="45.375" style="2" customWidth="1"/>
    <col min="7" max="7" width="2.625" style="2" customWidth="1"/>
    <col min="8" max="16384" width="8.875" style="2"/>
  </cols>
  <sheetData>
    <row r="1" spans="1:6" ht="30.95" customHeight="1" x14ac:dyDescent="0.2">
      <c r="A1" s="1"/>
    </row>
    <row r="2" spans="1:6" ht="19.5" x14ac:dyDescent="0.2">
      <c r="B2" s="47" t="s">
        <v>88</v>
      </c>
    </row>
    <row r="3" spans="1:6" ht="24" customHeight="1" x14ac:dyDescent="0.2">
      <c r="B3" s="41" t="s">
        <v>89</v>
      </c>
      <c r="C3" s="41" t="s">
        <v>11</v>
      </c>
      <c r="D3" s="41" t="s">
        <v>90</v>
      </c>
      <c r="E3" s="41" t="s">
        <v>91</v>
      </c>
      <c r="F3" s="41" t="s">
        <v>30</v>
      </c>
    </row>
    <row r="4" spans="1:6" ht="14.25" x14ac:dyDescent="0.2">
      <c r="B4" s="18" t="s">
        <v>51</v>
      </c>
      <c r="C4" s="6" t="s">
        <v>93</v>
      </c>
      <c r="D4" s="24">
        <v>45677</v>
      </c>
      <c r="E4" s="23">
        <v>12000</v>
      </c>
      <c r="F4" s="7"/>
    </row>
    <row r="5" spans="1:6" ht="14.25" x14ac:dyDescent="0.2">
      <c r="B5" s="18" t="s">
        <v>58</v>
      </c>
      <c r="C5" s="6" t="s">
        <v>93</v>
      </c>
      <c r="D5" s="24">
        <v>45708</v>
      </c>
      <c r="E5" s="23">
        <v>1750</v>
      </c>
      <c r="F5" s="7"/>
    </row>
    <row r="6" spans="1:6" ht="18" customHeight="1" x14ac:dyDescent="0.2">
      <c r="B6" s="18" t="s">
        <v>59</v>
      </c>
      <c r="C6" s="6" t="s">
        <v>93</v>
      </c>
      <c r="D6" s="24">
        <v>45675</v>
      </c>
      <c r="E6" s="23">
        <v>1800</v>
      </c>
      <c r="F6" s="7"/>
    </row>
    <row r="7" spans="1:6" ht="14.25" x14ac:dyDescent="0.2">
      <c r="B7" s="18" t="s">
        <v>60</v>
      </c>
      <c r="C7" s="6" t="s">
        <v>86</v>
      </c>
      <c r="D7" s="24">
        <v>45679</v>
      </c>
      <c r="E7" s="23">
        <v>5000</v>
      </c>
      <c r="F7" s="7"/>
    </row>
    <row r="8" spans="1:6" ht="14.25" x14ac:dyDescent="0.2">
      <c r="B8" s="18" t="s">
        <v>61</v>
      </c>
      <c r="C8" s="6" t="s">
        <v>85</v>
      </c>
      <c r="D8" s="24">
        <v>45713</v>
      </c>
      <c r="E8" s="23">
        <v>6400</v>
      </c>
      <c r="F8" s="7"/>
    </row>
    <row r="9" spans="1:6" ht="14.25" x14ac:dyDescent="0.2">
      <c r="B9" s="18" t="s">
        <v>62</v>
      </c>
      <c r="C9" s="6" t="s">
        <v>93</v>
      </c>
      <c r="D9" s="24">
        <v>45709</v>
      </c>
      <c r="E9" s="23">
        <v>5600</v>
      </c>
      <c r="F9" s="7"/>
    </row>
    <row r="10" spans="1:6" ht="14.25" x14ac:dyDescent="0.2">
      <c r="B10" s="18" t="s">
        <v>63</v>
      </c>
      <c r="C10" s="6" t="s">
        <v>93</v>
      </c>
      <c r="D10" s="24">
        <v>45718</v>
      </c>
      <c r="E10" s="23">
        <v>4900</v>
      </c>
      <c r="F10" s="7"/>
    </row>
    <row r="11" spans="1:6" ht="14.25" x14ac:dyDescent="0.2">
      <c r="B11" s="18" t="s">
        <v>64</v>
      </c>
      <c r="C11" s="6" t="s">
        <v>93</v>
      </c>
      <c r="D11" s="24">
        <v>45720</v>
      </c>
      <c r="E11" s="23">
        <v>5600</v>
      </c>
      <c r="F11" s="7"/>
    </row>
    <row r="12" spans="1:6" ht="14.25" x14ac:dyDescent="0.2">
      <c r="B12" s="18" t="s">
        <v>65</v>
      </c>
      <c r="C12" s="6" t="s">
        <v>93</v>
      </c>
      <c r="D12" s="24">
        <v>45721</v>
      </c>
      <c r="E12" s="23">
        <v>6400</v>
      </c>
      <c r="F12" s="7"/>
    </row>
    <row r="13" spans="1:6" ht="14.25" x14ac:dyDescent="0.2">
      <c r="B13" s="18" t="s">
        <v>66</v>
      </c>
      <c r="C13" s="6" t="s">
        <v>81</v>
      </c>
      <c r="D13" s="24">
        <v>45403</v>
      </c>
      <c r="E13" s="23">
        <v>10000</v>
      </c>
      <c r="F13" s="7"/>
    </row>
    <row r="14" spans="1:6" ht="14.25" x14ac:dyDescent="0.2">
      <c r="B14" s="18" t="s">
        <v>67</v>
      </c>
      <c r="C14" s="6" t="s">
        <v>81</v>
      </c>
      <c r="D14" s="24">
        <v>45403</v>
      </c>
      <c r="E14" s="23">
        <v>10000</v>
      </c>
      <c r="F14" s="7"/>
    </row>
    <row r="15" spans="1:6" ht="14.25" x14ac:dyDescent="0.2">
      <c r="B15" s="18" t="s">
        <v>68</v>
      </c>
      <c r="C15" s="6" t="s">
        <v>92</v>
      </c>
      <c r="D15" s="24">
        <v>45403</v>
      </c>
      <c r="E15" s="23">
        <v>5000</v>
      </c>
      <c r="F15" s="7"/>
    </row>
    <row r="16" spans="1:6" ht="14.25" x14ac:dyDescent="0.2">
      <c r="B16" s="18" t="s">
        <v>69</v>
      </c>
      <c r="C16" s="6" t="s">
        <v>86</v>
      </c>
      <c r="D16" s="24">
        <v>45403</v>
      </c>
      <c r="E16" s="23">
        <v>5000</v>
      </c>
      <c r="F16" s="7"/>
    </row>
    <row r="17" spans="2:6" ht="14.25" x14ac:dyDescent="0.2">
      <c r="B17" s="18" t="s">
        <v>70</v>
      </c>
      <c r="C17" s="6" t="s">
        <v>94</v>
      </c>
      <c r="D17" s="24">
        <v>45403</v>
      </c>
      <c r="E17" s="23">
        <v>5000</v>
      </c>
      <c r="F17" s="7"/>
    </row>
    <row r="18" spans="2:6" ht="14.25" x14ac:dyDescent="0.2">
      <c r="B18" s="18" t="s">
        <v>71</v>
      </c>
      <c r="C18" s="6" t="s">
        <v>92</v>
      </c>
      <c r="D18" s="24">
        <v>45404</v>
      </c>
      <c r="E18" s="23">
        <v>7500</v>
      </c>
      <c r="F18" s="7"/>
    </row>
    <row r="19" spans="2:6" ht="14.25" x14ac:dyDescent="0.2">
      <c r="B19" s="18" t="s">
        <v>72</v>
      </c>
      <c r="C19" s="6" t="s">
        <v>92</v>
      </c>
      <c r="D19" s="24">
        <v>45404</v>
      </c>
      <c r="E19" s="23">
        <v>3500</v>
      </c>
      <c r="F19" s="7"/>
    </row>
    <row r="20" spans="2:6" ht="14.25" x14ac:dyDescent="0.2">
      <c r="B20" s="18" t="s">
        <v>73</v>
      </c>
      <c r="C20" s="6" t="s">
        <v>93</v>
      </c>
      <c r="D20" s="24">
        <v>45404</v>
      </c>
      <c r="E20" s="23">
        <v>1000</v>
      </c>
      <c r="F20" s="7"/>
    </row>
    <row r="21" spans="2:6" ht="14.25" x14ac:dyDescent="0.2">
      <c r="B21" s="18" t="s">
        <v>74</v>
      </c>
      <c r="C21" s="6" t="s">
        <v>95</v>
      </c>
      <c r="D21" s="24">
        <v>45404</v>
      </c>
      <c r="E21" s="23">
        <v>120000</v>
      </c>
      <c r="F21" s="7"/>
    </row>
    <row r="22" spans="2:6" ht="14.25" x14ac:dyDescent="0.2">
      <c r="B22" s="18" t="s">
        <v>75</v>
      </c>
      <c r="C22" s="6" t="s">
        <v>92</v>
      </c>
      <c r="D22" s="24">
        <v>45404</v>
      </c>
      <c r="E22" s="23">
        <v>10000</v>
      </c>
      <c r="F22" s="7"/>
    </row>
    <row r="23" spans="2:6" ht="14.25" x14ac:dyDescent="0.2">
      <c r="B23" s="18" t="s">
        <v>76</v>
      </c>
      <c r="C23" s="6" t="s">
        <v>92</v>
      </c>
      <c r="D23" s="24">
        <v>45404</v>
      </c>
      <c r="E23" s="23">
        <v>2000</v>
      </c>
      <c r="F23" s="7"/>
    </row>
    <row r="24" spans="2:6" ht="33.950000000000003" customHeight="1" x14ac:dyDescent="0.2">
      <c r="B24" s="8" t="s">
        <v>5</v>
      </c>
      <c r="C24" s="8" t="str">
        <f>"Total des ventes: "&amp;SUBTOTAL(103,FacturesPrincipal9[N°])</f>
        <v>Total des ventes: 20</v>
      </c>
      <c r="D24" s="19"/>
      <c r="E24" s="16">
        <f>SUBTOTAL(109,FacturesPrincipal9[Montant])</f>
        <v>228450</v>
      </c>
      <c r="F24" s="7"/>
    </row>
  </sheetData>
  <conditionalFormatting sqref="B4:B23">
    <cfRule type="duplicateValues" dxfId="4" priority="6"/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B6CAA4-217B-4A80-A00C-286D0DD79855}">
          <x14:formula1>
            <xm:f>'CATEGORIE DEPENSES'!$D$4:$D$17</xm:f>
          </x14:formula1>
          <xm:sqref>C4:C23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0BBA-2359-4F4E-95DF-3D062A71ED64}">
  <dimension ref="A1:E19"/>
  <sheetViews>
    <sheetView showGridLines="0" workbookViewId="0">
      <selection activeCell="J13" sqref="J13"/>
    </sheetView>
  </sheetViews>
  <sheetFormatPr defaultColWidth="11" defaultRowHeight="24.95" customHeight="1" x14ac:dyDescent="0.2"/>
  <cols>
    <col min="1" max="1" width="18" style="8" customWidth="1"/>
    <col min="2" max="2" width="14" style="8" customWidth="1"/>
    <col min="3" max="3" width="10.875" style="8" customWidth="1"/>
    <col min="4" max="4" width="18.125" style="8" customWidth="1"/>
    <col min="5" max="5" width="19.375" style="8" customWidth="1"/>
    <col min="6" max="16384" width="11" style="8"/>
  </cols>
  <sheetData>
    <row r="1" spans="1:5" ht="24.95" customHeight="1" x14ac:dyDescent="0.2">
      <c r="A1" s="8" t="s">
        <v>13</v>
      </c>
      <c r="B1" s="8" t="s">
        <v>11</v>
      </c>
      <c r="C1" s="8" t="s">
        <v>91</v>
      </c>
      <c r="D1" s="8" t="s">
        <v>98</v>
      </c>
      <c r="E1" s="8" t="s">
        <v>99</v>
      </c>
    </row>
    <row r="2" spans="1:5" ht="24.95" customHeight="1" x14ac:dyDescent="0.2">
      <c r="A2" s="8" t="s">
        <v>137</v>
      </c>
      <c r="B2" s="8" t="s">
        <v>100</v>
      </c>
      <c r="C2" s="25">
        <v>150000</v>
      </c>
      <c r="D2" s="26" t="s">
        <v>101</v>
      </c>
      <c r="E2" s="25">
        <f>IF(Tableau9[[#This Row],[Fréquence]]="Mensuel",Tableau9[[#This Row],[Montant]],IF(Tableau9[[#This Row],[Fréquence]]="Hebdomadaire",Tableau9[[#This Row],[Montant]]*4,Tableau9[[#This Row],[Montant]]*30))</f>
        <v>150000</v>
      </c>
    </row>
    <row r="3" spans="1:5" ht="24.95" customHeight="1" x14ac:dyDescent="0.2">
      <c r="A3" s="8" t="s">
        <v>138</v>
      </c>
      <c r="B3" s="8" t="s">
        <v>100</v>
      </c>
      <c r="C3" s="25">
        <v>37500</v>
      </c>
      <c r="D3" s="26" t="s">
        <v>103</v>
      </c>
      <c r="E3" s="25">
        <f>IF(Tableau9[[#This Row],[Fréquence]]="Mensuel",Tableau9[[#This Row],[Montant]],IF(Tableau9[[#This Row],[Fréquence]]="Hebdomadaire",Tableau9[[#This Row],[Montant]]*4,Tableau9[[#This Row],[Montant]]*30))</f>
        <v>150000</v>
      </c>
    </row>
    <row r="4" spans="1:5" ht="24.95" customHeight="1" x14ac:dyDescent="0.2">
      <c r="A4" s="8" t="s">
        <v>139</v>
      </c>
      <c r="B4" s="8" t="s">
        <v>100</v>
      </c>
      <c r="C4" s="25">
        <v>5000</v>
      </c>
      <c r="D4" s="26" t="s">
        <v>102</v>
      </c>
      <c r="E4" s="25">
        <f>IF(Tableau9[[#This Row],[Fréquence]]="Mensuel",Tableau9[[#This Row],[Montant]],IF(Tableau9[[#This Row],[Fréquence]]="Hebdomadaire",Tableau9[[#This Row],[Montant]]*4,Tableau9[[#This Row],[Montant]]*30))</f>
        <v>150000</v>
      </c>
    </row>
    <row r="5" spans="1:5" ht="24.95" customHeight="1" x14ac:dyDescent="0.2">
      <c r="A5" s="8" t="s">
        <v>140</v>
      </c>
      <c r="B5" s="8" t="s">
        <v>100</v>
      </c>
      <c r="C5" s="25">
        <v>150000</v>
      </c>
      <c r="D5" s="26" t="s">
        <v>101</v>
      </c>
      <c r="E5" s="25">
        <f>IF(Tableau9[[#This Row],[Fréquence]]="Mensuel",Tableau9[[#This Row],[Montant]],IF(Tableau9[[#This Row],[Fréquence]]="Hebdomadaire",Tableau9[[#This Row],[Montant]]*4,Tableau9[[#This Row],[Montant]]*30))</f>
        <v>150000</v>
      </c>
    </row>
    <row r="6" spans="1:5" ht="24.95" customHeight="1" x14ac:dyDescent="0.2">
      <c r="A6" s="8" t="s">
        <v>141</v>
      </c>
      <c r="B6" s="8" t="s">
        <v>100</v>
      </c>
      <c r="C6" s="25">
        <v>150000</v>
      </c>
      <c r="D6" s="26" t="s">
        <v>101</v>
      </c>
      <c r="E6" s="25">
        <f>IF(Tableau9[[#This Row],[Fréquence]]="Mensuel",Tableau9[[#This Row],[Montant]],IF(Tableau9[[#This Row],[Fréquence]]="Hebdomadaire",Tableau9[[#This Row],[Montant]]*4,Tableau9[[#This Row],[Montant]]*30))</f>
        <v>150000</v>
      </c>
    </row>
    <row r="7" spans="1:5" ht="24.95" customHeight="1" x14ac:dyDescent="0.2">
      <c r="A7" s="8" t="s">
        <v>142</v>
      </c>
      <c r="B7" s="8" t="s">
        <v>104</v>
      </c>
      <c r="C7" s="25">
        <v>150000</v>
      </c>
      <c r="D7" s="26" t="s">
        <v>101</v>
      </c>
      <c r="E7" s="25">
        <f>IF(Tableau9[[#This Row],[Fréquence]]="Mensuel",Tableau9[[#This Row],[Montant]],IF(Tableau9[[#This Row],[Fréquence]]="Hebdomadaire",Tableau9[[#This Row],[Montant]]*4,Tableau9[[#This Row],[Montant]]*30))</f>
        <v>150000</v>
      </c>
    </row>
    <row r="8" spans="1:5" ht="24.95" customHeight="1" x14ac:dyDescent="0.2">
      <c r="A8" s="8" t="s">
        <v>143</v>
      </c>
      <c r="B8" s="8" t="s">
        <v>104</v>
      </c>
      <c r="C8" s="25">
        <v>50000</v>
      </c>
      <c r="D8" s="26" t="s">
        <v>101</v>
      </c>
      <c r="E8" s="25">
        <f>IF(Tableau9[[#This Row],[Fréquence]]="Mensuel",Tableau9[[#This Row],[Montant]],IF(Tableau9[[#This Row],[Fréquence]]="Hebdomadaire",Tableau9[[#This Row],[Montant]]*4,Tableau9[[#This Row],[Montant]]*30))</f>
        <v>50000</v>
      </c>
    </row>
    <row r="9" spans="1:5" ht="24.95" customHeight="1" x14ac:dyDescent="0.2">
      <c r="A9" s="8" t="s">
        <v>144</v>
      </c>
      <c r="B9" s="8" t="s">
        <v>81</v>
      </c>
      <c r="C9" s="25">
        <v>15000</v>
      </c>
      <c r="D9" s="26" t="s">
        <v>101</v>
      </c>
      <c r="E9" s="25">
        <f>IF(Tableau9[[#This Row],[Fréquence]]="Mensuel",Tableau9[[#This Row],[Montant]],IF(Tableau9[[#This Row],[Fréquence]]="Hebdomadaire",Tableau9[[#This Row],[Montant]]*4,Tableau9[[#This Row],[Montant]]*30))</f>
        <v>15000</v>
      </c>
    </row>
    <row r="10" spans="1:5" ht="24.95" customHeight="1" x14ac:dyDescent="0.2">
      <c r="A10" s="8" t="s">
        <v>145</v>
      </c>
      <c r="B10" s="8" t="s">
        <v>81</v>
      </c>
      <c r="C10" s="25">
        <v>15000</v>
      </c>
      <c r="D10" s="26" t="s">
        <v>101</v>
      </c>
      <c r="E10" s="25">
        <f>IF(Tableau9[[#This Row],[Fréquence]]="Mensuel",Tableau9[[#This Row],[Montant]],IF(Tableau9[[#This Row],[Fréquence]]="Hebdomadaire",Tableau9[[#This Row],[Montant]]*4,Tableau9[[#This Row],[Montant]]*30))</f>
        <v>15000</v>
      </c>
    </row>
    <row r="11" spans="1:5" ht="24.95" customHeight="1" x14ac:dyDescent="0.2">
      <c r="A11" s="8" t="s">
        <v>146</v>
      </c>
      <c r="B11" s="8" t="s">
        <v>83</v>
      </c>
      <c r="C11" s="25">
        <v>60000</v>
      </c>
      <c r="D11" s="26" t="s">
        <v>101</v>
      </c>
      <c r="E11" s="25">
        <f>IF(Tableau9[[#This Row],[Fréquence]]="Mensuel",Tableau9[[#This Row],[Montant]],IF(Tableau9[[#This Row],[Fréquence]]="Hebdomadaire",Tableau9[[#This Row],[Montant]]*4,Tableau9[[#This Row],[Montant]]*30))</f>
        <v>60000</v>
      </c>
    </row>
    <row r="12" spans="1:5" ht="24.95" customHeight="1" x14ac:dyDescent="0.2">
      <c r="A12" s="8" t="s">
        <v>147</v>
      </c>
      <c r="B12" s="8" t="s">
        <v>86</v>
      </c>
      <c r="C12" s="25">
        <v>100000</v>
      </c>
      <c r="D12" s="26" t="s">
        <v>101</v>
      </c>
      <c r="E12" s="25">
        <f>IF(Tableau9[[#This Row],[Fréquence]]="Mensuel",Tableau9[[#This Row],[Montant]],IF(Tableau9[[#This Row],[Fréquence]]="Hebdomadaire",Tableau9[[#This Row],[Montant]]*4,Tableau9[[#This Row],[Montant]]*30))</f>
        <v>100000</v>
      </c>
    </row>
    <row r="13" spans="1:5" ht="24.95" customHeight="1" x14ac:dyDescent="0.2">
      <c r="A13" s="8" t="s">
        <v>148</v>
      </c>
      <c r="B13" s="8" t="s">
        <v>105</v>
      </c>
      <c r="C13" s="25">
        <v>100000</v>
      </c>
      <c r="D13" s="26" t="s">
        <v>101</v>
      </c>
      <c r="E13" s="25">
        <f>IF(Tableau9[[#This Row],[Fréquence]]="Mensuel",Tableau9[[#This Row],[Montant]],IF(Tableau9[[#This Row],[Fréquence]]="Hebdomadaire",Tableau9[[#This Row],[Montant]]*4,Tableau9[[#This Row],[Montant]]*30))</f>
        <v>100000</v>
      </c>
    </row>
    <row r="14" spans="1:5" ht="24.95" customHeight="1" x14ac:dyDescent="0.2">
      <c r="A14" s="8" t="s">
        <v>149</v>
      </c>
      <c r="B14" s="8" t="s">
        <v>93</v>
      </c>
      <c r="C14" s="25">
        <v>20000</v>
      </c>
      <c r="D14" s="26" t="s">
        <v>101</v>
      </c>
      <c r="E14" s="25">
        <f>IF(Tableau9[[#This Row],[Fréquence]]="Mensuel",Tableau9[[#This Row],[Montant]],IF(Tableau9[[#This Row],[Fréquence]]="Hebdomadaire",Tableau9[[#This Row],[Montant]]*4,Tableau9[[#This Row],[Montant]]*30))</f>
        <v>20000</v>
      </c>
    </row>
    <row r="15" spans="1:5" ht="24.95" customHeight="1" x14ac:dyDescent="0.2">
      <c r="A15" s="8" t="s">
        <v>150</v>
      </c>
      <c r="B15" s="8" t="s">
        <v>107</v>
      </c>
      <c r="C15" s="25">
        <v>200000</v>
      </c>
      <c r="D15" s="26" t="s">
        <v>101</v>
      </c>
      <c r="E15" s="25">
        <f>IF(Tableau9[[#This Row],[Fréquence]]="Mensuel",Tableau9[[#This Row],[Montant]],IF(Tableau9[[#This Row],[Fréquence]]="Hebdomadaire",Tableau9[[#This Row],[Montant]]*4,Tableau9[[#This Row],[Montant]]*30))</f>
        <v>200000</v>
      </c>
    </row>
    <row r="16" spans="1:5" ht="24.95" customHeight="1" x14ac:dyDescent="0.2">
      <c r="A16" s="8" t="s">
        <v>151</v>
      </c>
      <c r="B16" s="8" t="s">
        <v>108</v>
      </c>
      <c r="C16" s="25">
        <v>25000</v>
      </c>
      <c r="D16" s="26" t="s">
        <v>101</v>
      </c>
      <c r="E16" s="25">
        <f>IF(Tableau9[[#This Row],[Fréquence]]="Mensuel",Tableau9[[#This Row],[Montant]],IF(Tableau9[[#This Row],[Fréquence]]="Hebdomadaire",Tableau9[[#This Row],[Montant]]*4,Tableau9[[#This Row],[Montant]]*30))</f>
        <v>25000</v>
      </c>
    </row>
    <row r="17" spans="1:5" ht="24.95" customHeight="1" x14ac:dyDescent="0.2">
      <c r="A17" s="8" t="s">
        <v>152</v>
      </c>
      <c r="B17" s="8" t="s">
        <v>87</v>
      </c>
      <c r="C17" s="25">
        <v>12900</v>
      </c>
      <c r="D17" s="26" t="s">
        <v>101</v>
      </c>
      <c r="E17" s="25">
        <f>IF(Tableau9[[#This Row],[Fréquence]]="Mensuel",Tableau9[[#This Row],[Montant]],IF(Tableau9[[#This Row],[Fréquence]]="Hebdomadaire",Tableau9[[#This Row],[Montant]]*4,Tableau9[[#This Row],[Montant]]*30))</f>
        <v>12900</v>
      </c>
    </row>
    <row r="18" spans="1:5" ht="24.95" customHeight="1" x14ac:dyDescent="0.2">
      <c r="A18" s="8" t="s">
        <v>153</v>
      </c>
      <c r="B18" s="8" t="s">
        <v>109</v>
      </c>
      <c r="C18" s="25">
        <v>10000</v>
      </c>
      <c r="D18" s="26" t="s">
        <v>101</v>
      </c>
      <c r="E18" s="25">
        <f>IF(Tableau9[[#This Row],[Fréquence]]="Mensuel",Tableau9[[#This Row],[Montant]],IF(Tableau9[[#This Row],[Fréquence]]="Hebdomadaire",Tableau9[[#This Row],[Montant]]*4,Tableau9[[#This Row],[Montant]]*30))</f>
        <v>10000</v>
      </c>
    </row>
    <row r="19" spans="1:5" ht="24.95" customHeight="1" x14ac:dyDescent="0.2">
      <c r="A19" s="8" t="s">
        <v>106</v>
      </c>
      <c r="E19" s="25">
        <f>SUBTOTAL(109,Tableau9[Montant Mensuel])</f>
        <v>1507900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67BC-D86A-484A-85E2-66BF685B8716}">
  <dimension ref="A1:G19"/>
  <sheetViews>
    <sheetView showGridLines="0" workbookViewId="0">
      <selection activeCell="F27" sqref="F27"/>
    </sheetView>
  </sheetViews>
  <sheetFormatPr defaultColWidth="8.875" defaultRowHeight="33.950000000000003" customHeight="1" x14ac:dyDescent="0.2"/>
  <cols>
    <col min="1" max="1" width="2.625" style="1" customWidth="1"/>
    <col min="2" max="2" width="16.5" style="2" hidden="1" customWidth="1"/>
    <col min="3" max="3" width="25.125" style="2" customWidth="1"/>
    <col min="4" max="4" width="23" style="2" customWidth="1"/>
    <col min="5" max="5" width="26.625" style="2" customWidth="1"/>
    <col min="6" max="6" width="15.875" style="1" customWidth="1"/>
    <col min="7" max="7" width="30.125" style="1" customWidth="1"/>
    <col min="8" max="8" width="2.625" style="2" customWidth="1"/>
    <col min="9" max="16384" width="8.875" style="2"/>
  </cols>
  <sheetData>
    <row r="1" spans="2:7" ht="30.95" customHeight="1" x14ac:dyDescent="0.2"/>
    <row r="2" spans="2:7" ht="19.5" x14ac:dyDescent="0.2">
      <c r="C2" s="47" t="s">
        <v>0</v>
      </c>
    </row>
    <row r="3" spans="2:7" s="4" customFormat="1" ht="24" customHeight="1" x14ac:dyDescent="0.2">
      <c r="B3" s="5" t="s">
        <v>1</v>
      </c>
      <c r="C3" s="48" t="s">
        <v>2</v>
      </c>
      <c r="D3" s="48" t="s">
        <v>6</v>
      </c>
      <c r="E3" s="48" t="s">
        <v>3</v>
      </c>
      <c r="F3" s="48" t="s">
        <v>4</v>
      </c>
      <c r="G3" s="49" t="s">
        <v>42</v>
      </c>
    </row>
    <row r="4" spans="2:7" ht="14.25" x14ac:dyDescent="0.2">
      <c r="B4" s="6" t="e">
        <f>C4&amp; " - "&amp;#REF!</f>
        <v>#REF!</v>
      </c>
      <c r="C4" s="6">
        <v>1</v>
      </c>
      <c r="D4" s="7" t="s">
        <v>123</v>
      </c>
      <c r="E4" s="7" t="s">
        <v>7</v>
      </c>
      <c r="F4" s="9"/>
      <c r="G4" s="15"/>
    </row>
    <row r="5" spans="2:7" ht="14.25" x14ac:dyDescent="0.2">
      <c r="B5" s="6" t="e">
        <f>C5&amp; " - "&amp;#REF!</f>
        <v>#REF!</v>
      </c>
      <c r="C5" s="6">
        <v>2</v>
      </c>
      <c r="D5" s="7" t="s">
        <v>124</v>
      </c>
      <c r="E5" s="7"/>
      <c r="F5" s="9"/>
      <c r="G5" s="10"/>
    </row>
    <row r="6" spans="2:7" ht="14.25" x14ac:dyDescent="0.2">
      <c r="B6" s="6" t="e">
        <f>C6&amp; " - "&amp;#REF!</f>
        <v>#REF!</v>
      </c>
      <c r="C6" s="6">
        <v>3</v>
      </c>
      <c r="D6" s="7" t="s">
        <v>125</v>
      </c>
      <c r="E6" s="7"/>
      <c r="F6" s="9"/>
      <c r="G6" s="10"/>
    </row>
    <row r="7" spans="2:7" ht="14.25" x14ac:dyDescent="0.2">
      <c r="B7" s="6" t="e">
        <f>C7&amp; " - "&amp;#REF!</f>
        <v>#REF!</v>
      </c>
      <c r="C7" s="6">
        <v>4</v>
      </c>
      <c r="D7" s="7" t="s">
        <v>126</v>
      </c>
      <c r="E7" s="7"/>
      <c r="F7" s="9"/>
      <c r="G7" s="10"/>
    </row>
    <row r="8" spans="2:7" ht="14.25" x14ac:dyDescent="0.2">
      <c r="B8" s="6" t="e">
        <f>C8&amp; " - "&amp;#REF!</f>
        <v>#REF!</v>
      </c>
      <c r="C8" s="6">
        <v>5</v>
      </c>
      <c r="D8" s="7" t="s">
        <v>127</v>
      </c>
      <c r="E8" s="7"/>
      <c r="F8" s="9"/>
      <c r="G8" s="10"/>
    </row>
    <row r="9" spans="2:7" ht="14.25" x14ac:dyDescent="0.2">
      <c r="B9" s="6" t="e">
        <f>C9&amp; " - "&amp;#REF!</f>
        <v>#REF!</v>
      </c>
      <c r="C9" s="6">
        <v>6</v>
      </c>
      <c r="D9" s="7" t="s">
        <v>128</v>
      </c>
      <c r="E9" s="7"/>
      <c r="F9" s="9"/>
      <c r="G9" s="10"/>
    </row>
    <row r="10" spans="2:7" ht="14.25" x14ac:dyDescent="0.2">
      <c r="B10" s="6" t="e">
        <f>C10&amp; " - "&amp;#REF!</f>
        <v>#REF!</v>
      </c>
      <c r="C10" s="6">
        <v>7</v>
      </c>
      <c r="D10" s="7" t="s">
        <v>129</v>
      </c>
      <c r="E10" s="7"/>
      <c r="F10" s="9"/>
      <c r="G10" s="10"/>
    </row>
    <row r="11" spans="2:7" ht="14.25" x14ac:dyDescent="0.2">
      <c r="B11" s="6" t="e">
        <f>C11&amp; " - "&amp;#REF!</f>
        <v>#REF!</v>
      </c>
      <c r="C11" s="6">
        <v>8</v>
      </c>
      <c r="D11" s="7" t="s">
        <v>130</v>
      </c>
      <c r="E11" s="7"/>
      <c r="F11" s="9"/>
      <c r="G11" s="10"/>
    </row>
    <row r="12" spans="2:7" ht="14.25" x14ac:dyDescent="0.2">
      <c r="B12" s="6" t="e">
        <f>C12&amp; " - "&amp;#REF!</f>
        <v>#REF!</v>
      </c>
      <c r="C12" s="6">
        <v>9</v>
      </c>
      <c r="D12" s="7" t="s">
        <v>131</v>
      </c>
      <c r="E12" s="7"/>
      <c r="F12" s="9"/>
      <c r="G12" s="10"/>
    </row>
    <row r="13" spans="2:7" ht="14.25" x14ac:dyDescent="0.2">
      <c r="B13" s="6" t="e">
        <f>C13&amp; " - "&amp;#REF!</f>
        <v>#REF!</v>
      </c>
      <c r="C13" s="6">
        <v>10</v>
      </c>
      <c r="D13" s="7" t="s">
        <v>132</v>
      </c>
      <c r="E13" s="7"/>
      <c r="F13" s="9"/>
      <c r="G13" s="10"/>
    </row>
    <row r="14" spans="2:7" ht="14.25" x14ac:dyDescent="0.2">
      <c r="B14" s="6" t="e">
        <f>C14&amp; " - "&amp;#REF!</f>
        <v>#REF!</v>
      </c>
      <c r="C14" s="6">
        <v>11</v>
      </c>
      <c r="D14" s="7" t="s">
        <v>133</v>
      </c>
      <c r="E14" s="7"/>
      <c r="F14" s="9"/>
      <c r="G14" s="10"/>
    </row>
    <row r="15" spans="2:7" ht="14.25" x14ac:dyDescent="0.2">
      <c r="B15" s="6" t="e">
        <f>C15&amp; " - "&amp;#REF!</f>
        <v>#REF!</v>
      </c>
      <c r="C15" s="6">
        <v>12</v>
      </c>
      <c r="D15" s="7" t="s">
        <v>134</v>
      </c>
      <c r="E15" s="7"/>
      <c r="F15" s="9"/>
      <c r="G15" s="10"/>
    </row>
    <row r="16" spans="2:7" ht="14.25" x14ac:dyDescent="0.2">
      <c r="B16" s="6" t="e">
        <f>C16&amp; " - "&amp;#REF!</f>
        <v>#REF!</v>
      </c>
      <c r="C16" s="6">
        <v>13</v>
      </c>
      <c r="D16" s="7" t="s">
        <v>135</v>
      </c>
      <c r="E16" s="7"/>
      <c r="F16" s="9"/>
      <c r="G16" s="10"/>
    </row>
    <row r="17" spans="2:7" ht="14.25" x14ac:dyDescent="0.2">
      <c r="B17" s="6" t="e">
        <f>C17&amp; " - "&amp;#REF!</f>
        <v>#REF!</v>
      </c>
      <c r="C17" s="6">
        <v>14</v>
      </c>
      <c r="D17" s="7" t="s">
        <v>136</v>
      </c>
      <c r="E17" s="7"/>
      <c r="F17" s="9"/>
      <c r="G17" s="10"/>
    </row>
    <row r="18" spans="2:7" ht="14.25" x14ac:dyDescent="0.2">
      <c r="B18" s="6" t="e">
        <f>C18&amp; " - "&amp;#REF!</f>
        <v>#REF!</v>
      </c>
      <c r="C18" s="6">
        <v>15</v>
      </c>
      <c r="D18" s="7" t="s">
        <v>27</v>
      </c>
      <c r="E18" s="7"/>
      <c r="F18" s="9"/>
      <c r="G18" s="10"/>
    </row>
    <row r="19" spans="2:7" ht="33.950000000000003" customHeight="1" x14ac:dyDescent="0.2">
      <c r="B19" s="11" t="s">
        <v>5</v>
      </c>
      <c r="C19" s="8" t="str">
        <f>"Total des clients: "&amp;SUBTOTAL(103,ListeClients[[Numéro ]])</f>
        <v>Total des clients: 15</v>
      </c>
      <c r="D19" s="12"/>
      <c r="E19" s="12"/>
      <c r="F19" s="14"/>
      <c r="G19" s="13"/>
    </row>
  </sheetData>
  <phoneticPr fontId="11" type="noConversion"/>
  <conditionalFormatting sqref="C4:C18">
    <cfRule type="duplicateValues" dxfId="3" priority="2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6976-8A9F-47D7-A9E6-8592A98D4068}">
  <dimension ref="A1:G13"/>
  <sheetViews>
    <sheetView showGridLines="0" workbookViewId="0">
      <selection activeCell="G16" sqref="G16"/>
    </sheetView>
  </sheetViews>
  <sheetFormatPr defaultColWidth="8.875" defaultRowHeight="33.950000000000003" customHeight="1" x14ac:dyDescent="0.2"/>
  <cols>
    <col min="1" max="1" width="2.625" style="1" customWidth="1"/>
    <col min="2" max="2" width="16.5" style="2" hidden="1" customWidth="1"/>
    <col min="3" max="3" width="25.125" style="2" customWidth="1"/>
    <col min="4" max="4" width="22.125" style="2" customWidth="1"/>
    <col min="5" max="5" width="26.5" style="2" customWidth="1"/>
    <col min="6" max="7" width="14.625" style="1" customWidth="1"/>
    <col min="8" max="8" width="2.625" style="2" customWidth="1"/>
    <col min="9" max="16384" width="8.875" style="2"/>
  </cols>
  <sheetData>
    <row r="1" spans="2:7" ht="30.95" customHeight="1" x14ac:dyDescent="0.2"/>
    <row r="2" spans="2:7" ht="19.5" x14ac:dyDescent="0.2">
      <c r="C2" s="50" t="s">
        <v>8</v>
      </c>
    </row>
    <row r="3" spans="2:7" s="4" customFormat="1" ht="24" customHeight="1" x14ac:dyDescent="0.2">
      <c r="B3" s="5" t="s">
        <v>1</v>
      </c>
      <c r="C3" s="48" t="s">
        <v>2</v>
      </c>
      <c r="D3" s="48" t="s">
        <v>6</v>
      </c>
      <c r="E3" s="48" t="s">
        <v>9</v>
      </c>
      <c r="F3" s="48" t="s">
        <v>10</v>
      </c>
      <c r="G3" s="48" t="s">
        <v>11</v>
      </c>
    </row>
    <row r="4" spans="2:7" ht="14.25" x14ac:dyDescent="0.2">
      <c r="B4" s="6" t="e">
        <f>C4&amp; " - "&amp;#REF!</f>
        <v>#REF!</v>
      </c>
      <c r="C4" s="6">
        <v>2</v>
      </c>
      <c r="D4" s="7" t="s">
        <v>20</v>
      </c>
      <c r="E4" s="16">
        <v>50000</v>
      </c>
      <c r="F4" s="17">
        <v>5</v>
      </c>
      <c r="G4" s="9" t="s">
        <v>15</v>
      </c>
    </row>
    <row r="5" spans="2:7" ht="14.25" x14ac:dyDescent="0.2">
      <c r="B5" s="6" t="e">
        <f>C5&amp; " - "&amp;#REF!</f>
        <v>#REF!</v>
      </c>
      <c r="C5" s="6">
        <v>6</v>
      </c>
      <c r="D5" s="7" t="s">
        <v>24</v>
      </c>
      <c r="E5" s="16">
        <v>50000</v>
      </c>
      <c r="F5" s="17">
        <v>5</v>
      </c>
      <c r="G5" s="9" t="s">
        <v>14</v>
      </c>
    </row>
    <row r="6" spans="2:7" ht="14.25" x14ac:dyDescent="0.2">
      <c r="B6" s="6" t="e">
        <f>C6&amp; " - "&amp;#REF!</f>
        <v>#REF!</v>
      </c>
      <c r="C6" s="6">
        <v>9</v>
      </c>
      <c r="D6" s="7" t="s">
        <v>50</v>
      </c>
      <c r="E6" s="16">
        <v>50000</v>
      </c>
      <c r="F6" s="17"/>
      <c r="G6" s="9"/>
    </row>
    <row r="7" spans="2:7" ht="14.25" x14ac:dyDescent="0.2">
      <c r="B7" s="6" t="e">
        <f>C7&amp; " - "&amp;#REF!</f>
        <v>#REF!</v>
      </c>
      <c r="C7" s="6">
        <v>7</v>
      </c>
      <c r="D7" s="7" t="s">
        <v>25</v>
      </c>
      <c r="E7" s="16">
        <v>50000</v>
      </c>
      <c r="F7" s="17">
        <v>5</v>
      </c>
      <c r="G7" s="9" t="s">
        <v>14</v>
      </c>
    </row>
    <row r="8" spans="2:7" ht="14.25" x14ac:dyDescent="0.2">
      <c r="B8" s="6" t="e">
        <f>C8&amp; " - "&amp;#REF!</f>
        <v>#REF!</v>
      </c>
      <c r="C8" s="6">
        <v>1</v>
      </c>
      <c r="D8" s="7" t="s">
        <v>19</v>
      </c>
      <c r="E8" s="16">
        <v>50000</v>
      </c>
      <c r="F8" s="17">
        <v>5</v>
      </c>
      <c r="G8" s="9" t="s">
        <v>15</v>
      </c>
    </row>
    <row r="9" spans="2:7" ht="14.25" x14ac:dyDescent="0.2">
      <c r="B9" s="6" t="e">
        <f>C9&amp; " - "&amp;#REF!</f>
        <v>#REF!</v>
      </c>
      <c r="C9" s="6">
        <v>4</v>
      </c>
      <c r="D9" s="7" t="s">
        <v>22</v>
      </c>
      <c r="E9" s="16">
        <v>50000</v>
      </c>
      <c r="F9" s="17">
        <v>5</v>
      </c>
      <c r="G9" s="9" t="s">
        <v>15</v>
      </c>
    </row>
    <row r="10" spans="2:7" ht="14.25" x14ac:dyDescent="0.2">
      <c r="B10" s="6" t="e">
        <f>C10&amp; " - "&amp;#REF!</f>
        <v>#REF!</v>
      </c>
      <c r="C10" s="6">
        <v>5</v>
      </c>
      <c r="D10" s="7" t="s">
        <v>23</v>
      </c>
      <c r="E10" s="16">
        <v>50000</v>
      </c>
      <c r="F10" s="17">
        <v>5</v>
      </c>
      <c r="G10" s="9" t="s">
        <v>15</v>
      </c>
    </row>
    <row r="11" spans="2:7" ht="14.25" x14ac:dyDescent="0.2">
      <c r="B11" s="6" t="e">
        <f>C11&amp; " - "&amp;#REF!</f>
        <v>#REF!</v>
      </c>
      <c r="C11" s="6">
        <v>8</v>
      </c>
      <c r="D11" s="7" t="s">
        <v>26</v>
      </c>
      <c r="E11" s="16">
        <v>50000</v>
      </c>
      <c r="F11" s="17">
        <v>5</v>
      </c>
      <c r="G11" s="9" t="s">
        <v>14</v>
      </c>
    </row>
    <row r="12" spans="2:7" ht="14.25" x14ac:dyDescent="0.2">
      <c r="B12" s="6" t="e">
        <f>C12&amp; " - "&amp;#REF!</f>
        <v>#REF!</v>
      </c>
      <c r="C12" s="6">
        <v>3</v>
      </c>
      <c r="D12" s="7" t="s">
        <v>21</v>
      </c>
      <c r="E12" s="16">
        <v>50000</v>
      </c>
      <c r="F12" s="17">
        <v>5</v>
      </c>
      <c r="G12" s="9" t="s">
        <v>15</v>
      </c>
    </row>
    <row r="13" spans="2:7" ht="14.25" x14ac:dyDescent="0.2">
      <c r="B13" s="11" t="s">
        <v>5</v>
      </c>
      <c r="C13" s="8" t="str">
        <f>"Total des produits: "&amp;SUBTOTAL(103,ListeClients3[[Numéro ]])</f>
        <v>Total des produits: 9</v>
      </c>
      <c r="D13" s="12"/>
      <c r="E13" s="12"/>
      <c r="F13" s="14"/>
      <c r="G13" s="14"/>
    </row>
  </sheetData>
  <conditionalFormatting sqref="C4:C12">
    <cfRule type="duplicateValues" dxfId="2" priority="4"/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C1D8468-2E9D-4E69-A72F-C3797D07E798}">
          <x14:formula1>
            <xm:f>'CATEGORIE PRODUITS'!$D$4:$D$8</xm:f>
          </x14:formula1>
          <xm:sqref>G4:G12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2CA1-444A-4514-9860-781816280EE4}">
  <dimension ref="A1:D18"/>
  <sheetViews>
    <sheetView showGridLines="0" workbookViewId="0">
      <selection activeCell="G11" sqref="G11"/>
    </sheetView>
  </sheetViews>
  <sheetFormatPr defaultColWidth="8.875" defaultRowHeight="33.950000000000003" customHeight="1" x14ac:dyDescent="0.2"/>
  <cols>
    <col min="1" max="1" width="2.625" style="1" customWidth="1"/>
    <col min="2" max="2" width="16.5" style="2" hidden="1" customWidth="1"/>
    <col min="3" max="3" width="27" style="2" customWidth="1"/>
    <col min="4" max="4" width="25.625" style="2" customWidth="1"/>
    <col min="5" max="16384" width="8.875" style="2"/>
  </cols>
  <sheetData>
    <row r="1" spans="2:4" ht="30.95" customHeight="1" x14ac:dyDescent="0.2"/>
    <row r="2" spans="2:4" ht="19.5" x14ac:dyDescent="0.2">
      <c r="C2" s="50" t="s">
        <v>77</v>
      </c>
    </row>
    <row r="3" spans="2:4" s="4" customFormat="1" ht="24" customHeight="1" x14ac:dyDescent="0.2">
      <c r="B3" s="5" t="s">
        <v>1</v>
      </c>
      <c r="C3" s="48" t="s">
        <v>2</v>
      </c>
      <c r="D3" s="48" t="s">
        <v>13</v>
      </c>
    </row>
    <row r="4" spans="2:4" ht="14.25" x14ac:dyDescent="0.2">
      <c r="B4" s="6" t="e">
        <f>C4&amp; " - "&amp;#REF!</f>
        <v>#REF!</v>
      </c>
      <c r="C4" s="6">
        <v>1</v>
      </c>
      <c r="D4" s="7" t="s">
        <v>78</v>
      </c>
    </row>
    <row r="5" spans="2:4" ht="14.25" x14ac:dyDescent="0.2">
      <c r="B5" s="6" t="e">
        <f>C5&amp; " - "&amp;#REF!</f>
        <v>#REF!</v>
      </c>
      <c r="C5" s="6">
        <v>2</v>
      </c>
      <c r="D5" s="7" t="s">
        <v>79</v>
      </c>
    </row>
    <row r="6" spans="2:4" ht="14.25" x14ac:dyDescent="0.2">
      <c r="B6" s="6" t="e">
        <f>C6&amp; " - "&amp;#REF!</f>
        <v>#REF!</v>
      </c>
      <c r="C6" s="6">
        <v>12</v>
      </c>
      <c r="D6" s="2" t="s">
        <v>92</v>
      </c>
    </row>
    <row r="7" spans="2:4" ht="14.25" x14ac:dyDescent="0.2">
      <c r="B7" s="6" t="e">
        <f>C7&amp; " - "&amp;#REF!</f>
        <v>#REF!</v>
      </c>
      <c r="C7" s="6">
        <v>3</v>
      </c>
      <c r="D7" s="7" t="s">
        <v>80</v>
      </c>
    </row>
    <row r="8" spans="2:4" ht="14.25" x14ac:dyDescent="0.2">
      <c r="B8" s="6" t="e">
        <f>C8&amp; " - "&amp;#REF!</f>
        <v>#REF!</v>
      </c>
      <c r="C8" s="6">
        <v>4</v>
      </c>
      <c r="D8" s="7" t="s">
        <v>81</v>
      </c>
    </row>
    <row r="9" spans="2:4" ht="14.25" x14ac:dyDescent="0.2">
      <c r="B9" s="6" t="e">
        <f>C9&amp; " - "&amp;#REF!</f>
        <v>#REF!</v>
      </c>
      <c r="C9" s="6">
        <v>5</v>
      </c>
      <c r="D9" s="7" t="s">
        <v>82</v>
      </c>
    </row>
    <row r="10" spans="2:4" ht="14.25" x14ac:dyDescent="0.2">
      <c r="B10" s="6" t="e">
        <f>C10&amp; " - "&amp;#REF!</f>
        <v>#REF!</v>
      </c>
      <c r="C10" s="6">
        <v>13</v>
      </c>
      <c r="D10" s="2" t="s">
        <v>94</v>
      </c>
    </row>
    <row r="11" spans="2:4" ht="14.25" x14ac:dyDescent="0.2">
      <c r="B11" s="6" t="e">
        <f>C11&amp; " - "&amp;#REF!</f>
        <v>#REF!</v>
      </c>
      <c r="C11" s="6">
        <v>11</v>
      </c>
      <c r="D11" s="2" t="s">
        <v>93</v>
      </c>
    </row>
    <row r="12" spans="2:4" ht="14.25" x14ac:dyDescent="0.2">
      <c r="B12" s="6" t="e">
        <f>C12&amp; " - "&amp;#REF!</f>
        <v>#REF!</v>
      </c>
      <c r="C12" s="6">
        <v>6</v>
      </c>
      <c r="D12" s="2" t="s">
        <v>83</v>
      </c>
    </row>
    <row r="13" spans="2:4" ht="14.25" x14ac:dyDescent="0.2">
      <c r="B13" s="6" t="e">
        <f>C13&amp; " - "&amp;#REF!</f>
        <v>#REF!</v>
      </c>
      <c r="C13" s="6">
        <v>7</v>
      </c>
      <c r="D13" s="2" t="s">
        <v>84</v>
      </c>
    </row>
    <row r="14" spans="2:4" ht="14.25" x14ac:dyDescent="0.2">
      <c r="B14" s="6" t="e">
        <f>C14&amp; " - "&amp;#REF!</f>
        <v>#REF!</v>
      </c>
      <c r="C14" s="6">
        <v>8</v>
      </c>
      <c r="D14" s="2" t="s">
        <v>85</v>
      </c>
    </row>
    <row r="15" spans="2:4" ht="14.25" x14ac:dyDescent="0.2">
      <c r="B15" s="6" t="e">
        <f>C15&amp; " - "&amp;#REF!</f>
        <v>#REF!</v>
      </c>
      <c r="C15" s="6">
        <v>14</v>
      </c>
      <c r="D15" s="2" t="s">
        <v>95</v>
      </c>
    </row>
    <row r="16" spans="2:4" ht="14.25" x14ac:dyDescent="0.2">
      <c r="B16" s="6" t="e">
        <f>C16&amp; " - "&amp;#REF!</f>
        <v>#REF!</v>
      </c>
      <c r="C16" s="6">
        <v>9</v>
      </c>
      <c r="D16" s="2" t="s">
        <v>86</v>
      </c>
    </row>
    <row r="17" spans="2:4" ht="14.25" x14ac:dyDescent="0.2">
      <c r="B17" s="6" t="e">
        <f>C17&amp; " - "&amp;#REF!</f>
        <v>#REF!</v>
      </c>
      <c r="C17" s="6">
        <v>15</v>
      </c>
      <c r="D17" s="2" t="s">
        <v>87</v>
      </c>
    </row>
    <row r="18" spans="2:4" ht="33.950000000000003" customHeight="1" x14ac:dyDescent="0.2">
      <c r="B18" s="11" t="s">
        <v>5</v>
      </c>
      <c r="C18" s="8" t="str">
        <f>"Total des catégories: "&amp;SUBTOTAL(103,ListeClients348[[Numéro ]])</f>
        <v>Total des catégories: 14</v>
      </c>
      <c r="D18" s="12"/>
    </row>
  </sheetData>
  <phoneticPr fontId="11" type="noConversion"/>
  <conditionalFormatting sqref="C4:C17">
    <cfRule type="duplicateValues" dxfId="1" priority="3"/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5B58-69D4-4B5C-869B-1C9B227F1E26}">
  <dimension ref="A1:D9"/>
  <sheetViews>
    <sheetView showGridLines="0" tabSelected="1" workbookViewId="0">
      <selection activeCell="C8" sqref="C8"/>
    </sheetView>
  </sheetViews>
  <sheetFormatPr defaultColWidth="8.875" defaultRowHeight="33.950000000000003" customHeight="1" x14ac:dyDescent="0.2"/>
  <cols>
    <col min="1" max="1" width="2.625" style="1" customWidth="1"/>
    <col min="2" max="2" width="16.5" style="2" hidden="1" customWidth="1"/>
    <col min="3" max="3" width="25.125" style="2" customWidth="1"/>
    <col min="4" max="4" width="22.125" style="2" customWidth="1"/>
    <col min="5" max="5" width="2.625" style="2" customWidth="1"/>
    <col min="6" max="16384" width="8.875" style="2"/>
  </cols>
  <sheetData>
    <row r="1" spans="2:4" ht="30.95" customHeight="1" x14ac:dyDescent="0.2"/>
    <row r="2" spans="2:4" ht="19.5" x14ac:dyDescent="0.2">
      <c r="C2" s="50" t="s">
        <v>12</v>
      </c>
    </row>
    <row r="3" spans="2:4" s="4" customFormat="1" ht="24" customHeight="1" x14ac:dyDescent="0.2">
      <c r="B3" s="5" t="s">
        <v>1</v>
      </c>
      <c r="C3" s="48" t="s">
        <v>2</v>
      </c>
      <c r="D3" s="48" t="s">
        <v>13</v>
      </c>
    </row>
    <row r="4" spans="2:4" ht="14.25" x14ac:dyDescent="0.2">
      <c r="B4" s="6" t="e">
        <f>C4&amp; " - "&amp;#REF!</f>
        <v>#REF!</v>
      </c>
      <c r="C4" s="6">
        <v>1</v>
      </c>
      <c r="D4" s="7" t="s">
        <v>14</v>
      </c>
    </row>
    <row r="5" spans="2:4" ht="14.25" x14ac:dyDescent="0.2">
      <c r="B5" s="6" t="e">
        <f>C5&amp; " - "&amp;#REF!</f>
        <v>#REF!</v>
      </c>
      <c r="C5" s="6">
        <v>2</v>
      </c>
      <c r="D5" s="7" t="s">
        <v>16</v>
      </c>
    </row>
    <row r="6" spans="2:4" ht="14.25" x14ac:dyDescent="0.2">
      <c r="B6" s="6" t="e">
        <f>C6&amp; " - "&amp;#REF!</f>
        <v>#REF!</v>
      </c>
      <c r="C6" s="6">
        <v>3</v>
      </c>
      <c r="D6" s="7" t="s">
        <v>18</v>
      </c>
    </row>
    <row r="7" spans="2:4" ht="14.25" x14ac:dyDescent="0.2">
      <c r="B7" s="6" t="e">
        <f>C7&amp; " - "&amp;#REF!</f>
        <v>#REF!</v>
      </c>
      <c r="C7" s="6">
        <v>4</v>
      </c>
      <c r="D7" s="7" t="s">
        <v>17</v>
      </c>
    </row>
    <row r="8" spans="2:4" ht="14.25" x14ac:dyDescent="0.2">
      <c r="B8" s="6" t="e">
        <f>C8&amp; " - "&amp;#REF!</f>
        <v>#REF!</v>
      </c>
      <c r="C8" s="6">
        <v>5</v>
      </c>
      <c r="D8" s="7" t="s">
        <v>15</v>
      </c>
    </row>
    <row r="9" spans="2:4" ht="33" customHeight="1" x14ac:dyDescent="0.2">
      <c r="B9" s="11" t="s">
        <v>5</v>
      </c>
      <c r="C9" s="8" t="str">
        <f>"Total des catégories: "&amp;SUBTOTAL(103,ListeClients34[[Numéro ]])</f>
        <v>Total des catégories: 5</v>
      </c>
      <c r="D9" s="12"/>
    </row>
  </sheetData>
  <conditionalFormatting sqref="C4:C8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B2E1-EB18-4FA4-AD0E-B85BDC970EB4}">
  <dimension ref="A1"/>
  <sheetViews>
    <sheetView workbookViewId="0"/>
  </sheetViews>
  <sheetFormatPr defaultColWidth="11" defaultRowHeight="14.2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46A2-57FD-45FB-A266-DCFEB9C4F9F1}">
  <dimension ref="A1"/>
  <sheetViews>
    <sheetView showGridLines="0" workbookViewId="0">
      <selection activeCell="C44" sqref="C44"/>
    </sheetView>
  </sheetViews>
  <sheetFormatPr defaultColWidth="11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RECAPITULATIF</vt:lpstr>
      <vt:lpstr>Tableau de Bord</vt:lpstr>
      <vt:lpstr>VENTES</vt:lpstr>
      <vt:lpstr>DEPENSES</vt:lpstr>
      <vt:lpstr>DEPENSES FIXES</vt:lpstr>
      <vt:lpstr>CLIENTS</vt:lpstr>
      <vt:lpstr>ARTICLES</vt:lpstr>
      <vt:lpstr>CATEGORIE DEPENSES</vt:lpstr>
      <vt:lpstr>CATEGORIE PRODUITS</vt:lpstr>
      <vt:lpstr>Feuil1</vt:lpstr>
      <vt:lpstr>DETTES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AngelCodes</dc:creator>
  <cp:lastModifiedBy>Salif Diallo</cp:lastModifiedBy>
  <dcterms:created xsi:type="dcterms:W3CDTF">2022-04-23T18:45:51Z</dcterms:created>
  <dcterms:modified xsi:type="dcterms:W3CDTF">2025-11-27T03:42:59Z</dcterms:modified>
</cp:coreProperties>
</file>